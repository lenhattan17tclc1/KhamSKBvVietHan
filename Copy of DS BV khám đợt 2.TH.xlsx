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Desktop\KHAM SK TAM XUAN\DANH SACH KHAM\"/>
    </mc:Choice>
  </mc:AlternateContent>
  <xr:revisionPtr revIDLastSave="0" documentId="8_{FC904534-DC75-41D6-87CC-83908A75908A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30.9" sheetId="2" r:id="rId1"/>
    <sheet name="ngày 1.10" sheetId="3" r:id="rId2"/>
    <sheet name="ngày 02.10" sheetId="4" r:id="rId3"/>
    <sheet name="ngày 28.9" sheetId="5" r:id="rId4"/>
    <sheet name="29.9" sheetId="6" r:id="rId5"/>
    <sheet name="30.9.26" sheetId="7" r:id="rId6"/>
  </sheets>
  <externalReferences>
    <externalReference r:id="rId7"/>
  </externalReferences>
  <definedNames>
    <definedName name="_xlnm._FilterDatabase" localSheetId="4" hidden="1">'29.9'!$A$2:$X$143</definedName>
    <definedName name="_xlnm._FilterDatabase" localSheetId="0" hidden="1">'30.9'!$A$10:$X$786</definedName>
    <definedName name="_xlnm._FilterDatabase" localSheetId="5" hidden="1">'30.9.26'!$A$2:$X$213</definedName>
    <definedName name="_xlnm._FilterDatabase" localSheetId="2" hidden="1">'ngày 02.10'!$A$2:$X$132</definedName>
    <definedName name="_xlnm._FilterDatabase" localSheetId="1" hidden="1">'ngày 1.10'!$A$2:$X$187</definedName>
    <definedName name="_xlnm._FilterDatabase" localSheetId="3" hidden="1">'ngày 28.9'!$A$2:$X$99</definedName>
    <definedName name="DM_dantoc">[1]dmdantoc!$B$2:$B$57</definedName>
    <definedName name="DM_DTkham">'[1]Hướng dẫn'!$B$9:$B$24</definedName>
    <definedName name="DM_Icd10">[1]dmicdme!$B$2:$B$35735</definedName>
    <definedName name="DM_kcb">'[1]Hướng dẫn'!$M$1:$M$16</definedName>
    <definedName name="DM_Nguonkinhphi">'[1]Hướng dẫn'!$G$8:$G$13</definedName>
    <definedName name="GioiTinh">[1]dmkhac!$AL$2:$AL$4</definedName>
    <definedName name="TINH">OFFSET([1]dmtinh!$A$2,0,0,COUNTIF([1]dmtinh!$A:$A,"&lt;&gt;")-1,1)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3" i="7" l="1"/>
  <c r="H213" i="7" s="1"/>
  <c r="G212" i="7"/>
  <c r="H212" i="7" s="1"/>
  <c r="G211" i="7"/>
  <c r="H211" i="7" s="1"/>
  <c r="G210" i="7"/>
  <c r="H210" i="7" s="1"/>
  <c r="G209" i="7"/>
  <c r="H209" i="7" s="1"/>
  <c r="G208" i="7"/>
  <c r="H208" i="7" s="1"/>
  <c r="G207" i="7"/>
  <c r="H207" i="7" s="1"/>
  <c r="G206" i="7"/>
  <c r="H206" i="7" s="1"/>
  <c r="G205" i="7"/>
  <c r="H205" i="7" s="1"/>
  <c r="G204" i="7"/>
  <c r="H204" i="7" s="1"/>
  <c r="G203" i="7"/>
  <c r="H203" i="7" s="1"/>
  <c r="G202" i="7"/>
  <c r="H202" i="7" s="1"/>
  <c r="G200" i="7"/>
  <c r="H200" i="7" s="1"/>
  <c r="G199" i="7"/>
  <c r="H199" i="7" s="1"/>
  <c r="G198" i="7"/>
  <c r="H198" i="7" s="1"/>
  <c r="G197" i="7"/>
  <c r="H197" i="7" s="1"/>
  <c r="G196" i="7"/>
  <c r="H196" i="7" s="1"/>
  <c r="G195" i="7"/>
  <c r="H195" i="7" s="1"/>
  <c r="G194" i="7"/>
  <c r="H194" i="7" s="1"/>
  <c r="G193" i="7"/>
  <c r="H193" i="7" s="1"/>
  <c r="G192" i="7"/>
  <c r="H192" i="7" s="1"/>
  <c r="G191" i="7"/>
  <c r="H191" i="7" s="1"/>
  <c r="G190" i="7"/>
  <c r="H190" i="7" s="1"/>
  <c r="G189" i="7"/>
  <c r="H189" i="7" s="1"/>
  <c r="G188" i="7"/>
  <c r="H188" i="7" s="1"/>
  <c r="G187" i="7"/>
  <c r="H187" i="7" s="1"/>
  <c r="G186" i="7"/>
  <c r="H186" i="7" s="1"/>
  <c r="G185" i="7"/>
  <c r="H185" i="7" s="1"/>
  <c r="G184" i="7"/>
  <c r="H184" i="7" s="1"/>
  <c r="G183" i="7"/>
  <c r="H183" i="7" s="1"/>
  <c r="G182" i="7"/>
  <c r="H182" i="7" s="1"/>
  <c r="G181" i="7"/>
  <c r="H181" i="7" s="1"/>
  <c r="G180" i="7"/>
  <c r="H180" i="7" s="1"/>
  <c r="G179" i="7"/>
  <c r="H179" i="7" s="1"/>
  <c r="G178" i="7"/>
  <c r="H178" i="7" s="1"/>
  <c r="G177" i="7"/>
  <c r="H177" i="7" s="1"/>
  <c r="G176" i="7"/>
  <c r="H176" i="7" s="1"/>
  <c r="G175" i="7"/>
  <c r="H175" i="7" s="1"/>
  <c r="G174" i="7"/>
  <c r="H174" i="7" s="1"/>
  <c r="G173" i="7"/>
  <c r="H173" i="7" s="1"/>
  <c r="G172" i="7"/>
  <c r="H172" i="7" s="1"/>
  <c r="G171" i="7"/>
  <c r="H171" i="7" s="1"/>
  <c r="G170" i="7"/>
  <c r="H170" i="7" s="1"/>
  <c r="G169" i="7"/>
  <c r="H169" i="7" s="1"/>
  <c r="G168" i="7"/>
  <c r="H168" i="7" s="1"/>
  <c r="G167" i="7"/>
  <c r="H167" i="7" s="1"/>
  <c r="G166" i="7"/>
  <c r="H166" i="7" s="1"/>
  <c r="G165" i="7"/>
  <c r="H165" i="7" s="1"/>
  <c r="G164" i="7"/>
  <c r="H164" i="7" s="1"/>
  <c r="G163" i="7"/>
  <c r="H163" i="7" s="1"/>
  <c r="G162" i="7"/>
  <c r="H162" i="7" s="1"/>
  <c r="G161" i="7"/>
  <c r="H161" i="7" s="1"/>
  <c r="G160" i="7"/>
  <c r="H160" i="7" s="1"/>
  <c r="G159" i="7"/>
  <c r="H159" i="7" s="1"/>
  <c r="G158" i="7"/>
  <c r="H158" i="7" s="1"/>
  <c r="G157" i="7"/>
  <c r="H157" i="7" s="1"/>
  <c r="G156" i="7"/>
  <c r="H156" i="7" s="1"/>
  <c r="G155" i="7"/>
  <c r="H155" i="7" s="1"/>
  <c r="G154" i="7"/>
  <c r="H154" i="7" s="1"/>
  <c r="G153" i="7"/>
  <c r="H153" i="7" s="1"/>
  <c r="G152" i="7"/>
  <c r="H152" i="7" s="1"/>
  <c r="G151" i="7"/>
  <c r="H151" i="7" s="1"/>
  <c r="G150" i="7"/>
  <c r="H150" i="7" s="1"/>
  <c r="G149" i="7"/>
  <c r="H149" i="7" s="1"/>
  <c r="G148" i="7"/>
  <c r="H148" i="7" s="1"/>
  <c r="G147" i="7"/>
  <c r="H147" i="7" s="1"/>
  <c r="G146" i="7"/>
  <c r="H146" i="7" s="1"/>
  <c r="G145" i="7"/>
  <c r="H145" i="7" s="1"/>
  <c r="G144" i="7"/>
  <c r="H144" i="7" s="1"/>
  <c r="G143" i="7"/>
  <c r="H143" i="7" s="1"/>
  <c r="G142" i="7"/>
  <c r="H142" i="7" s="1"/>
  <c r="G141" i="7"/>
  <c r="H141" i="7" s="1"/>
  <c r="G140" i="7"/>
  <c r="H140" i="7" s="1"/>
  <c r="G139" i="7"/>
  <c r="H139" i="7" s="1"/>
  <c r="G138" i="7"/>
  <c r="H138" i="7" s="1"/>
  <c r="G137" i="7"/>
  <c r="H137" i="7" s="1"/>
  <c r="G136" i="7"/>
  <c r="H136" i="7" s="1"/>
  <c r="G135" i="7"/>
  <c r="H135" i="7" s="1"/>
  <c r="G134" i="7"/>
  <c r="H134" i="7" s="1"/>
  <c r="G133" i="7"/>
  <c r="H133" i="7" s="1"/>
  <c r="G132" i="7"/>
  <c r="H132" i="7" s="1"/>
  <c r="G131" i="7"/>
  <c r="H131" i="7" s="1"/>
  <c r="G130" i="7"/>
  <c r="H130" i="7" s="1"/>
  <c r="G129" i="7"/>
  <c r="H129" i="7" s="1"/>
  <c r="G128" i="7"/>
  <c r="H128" i="7" s="1"/>
  <c r="G127" i="7"/>
  <c r="H127" i="7" s="1"/>
  <c r="G126" i="7"/>
  <c r="H126" i="7" s="1"/>
  <c r="G125" i="7"/>
  <c r="H125" i="7" s="1"/>
  <c r="G124" i="7"/>
  <c r="H124" i="7" s="1"/>
  <c r="G123" i="7"/>
  <c r="H123" i="7" s="1"/>
  <c r="G122" i="7"/>
  <c r="H122" i="7" s="1"/>
  <c r="G121" i="7"/>
  <c r="H121" i="7" s="1"/>
  <c r="G120" i="7"/>
  <c r="H120" i="7" s="1"/>
  <c r="G119" i="7"/>
  <c r="H119" i="7" s="1"/>
  <c r="G118" i="7"/>
  <c r="H118" i="7" s="1"/>
  <c r="G117" i="7"/>
  <c r="H117" i="7" s="1"/>
  <c r="G116" i="7"/>
  <c r="H116" i="7" s="1"/>
  <c r="G115" i="7"/>
  <c r="H115" i="7" s="1"/>
  <c r="G114" i="7"/>
  <c r="H114" i="7" s="1"/>
  <c r="G113" i="7"/>
  <c r="H113" i="7" s="1"/>
  <c r="G112" i="7"/>
  <c r="H112" i="7" s="1"/>
  <c r="G111" i="7"/>
  <c r="H111" i="7" s="1"/>
  <c r="G110" i="7"/>
  <c r="H110" i="7" s="1"/>
  <c r="G109" i="7"/>
  <c r="H109" i="7" s="1"/>
  <c r="G108" i="7"/>
  <c r="H108" i="7" s="1"/>
  <c r="G107" i="7"/>
  <c r="H107" i="7" s="1"/>
  <c r="G106" i="7"/>
  <c r="H106" i="7" s="1"/>
  <c r="G105" i="7"/>
  <c r="H105" i="7" s="1"/>
  <c r="G104" i="7"/>
  <c r="H104" i="7" s="1"/>
  <c r="G103" i="7"/>
  <c r="H103" i="7" s="1"/>
  <c r="G102" i="7"/>
  <c r="H102" i="7" s="1"/>
  <c r="G101" i="7"/>
  <c r="H101" i="7" s="1"/>
  <c r="G100" i="7"/>
  <c r="H100" i="7" s="1"/>
  <c r="G99" i="7"/>
  <c r="H99" i="7" s="1"/>
  <c r="G98" i="7"/>
  <c r="H98" i="7" s="1"/>
  <c r="G97" i="7"/>
  <c r="H97" i="7" s="1"/>
  <c r="G96" i="7"/>
  <c r="H96" i="7" s="1"/>
  <c r="G95" i="7"/>
  <c r="H95" i="7" s="1"/>
  <c r="G94" i="7"/>
  <c r="H94" i="7" s="1"/>
  <c r="G93" i="7"/>
  <c r="H93" i="7" s="1"/>
  <c r="G92" i="7"/>
  <c r="H92" i="7" s="1"/>
  <c r="G91" i="7"/>
  <c r="H91" i="7" s="1"/>
  <c r="G90" i="7"/>
  <c r="H90" i="7" s="1"/>
  <c r="G89" i="7"/>
  <c r="H89" i="7" s="1"/>
  <c r="G88" i="7"/>
  <c r="H88" i="7" s="1"/>
  <c r="G87" i="7"/>
  <c r="H87" i="7" s="1"/>
  <c r="G86" i="7"/>
  <c r="H86" i="7" s="1"/>
  <c r="G85" i="7"/>
  <c r="H85" i="7" s="1"/>
  <c r="G84" i="7"/>
  <c r="H84" i="7" s="1"/>
  <c r="G83" i="7"/>
  <c r="H83" i="7" s="1"/>
  <c r="G82" i="7"/>
  <c r="H82" i="7" s="1"/>
  <c r="G81" i="7"/>
  <c r="H81" i="7" s="1"/>
  <c r="G80" i="7"/>
  <c r="H80" i="7" s="1"/>
  <c r="G79" i="7"/>
  <c r="H79" i="7" s="1"/>
  <c r="G78" i="7"/>
  <c r="H78" i="7" s="1"/>
  <c r="G77" i="7"/>
  <c r="H77" i="7" s="1"/>
  <c r="G76" i="7"/>
  <c r="H76" i="7" s="1"/>
  <c r="G75" i="7"/>
  <c r="H75" i="7" s="1"/>
  <c r="G74" i="7"/>
  <c r="H74" i="7" s="1"/>
  <c r="G73" i="7"/>
  <c r="H73" i="7" s="1"/>
  <c r="G72" i="7"/>
  <c r="H72" i="7" s="1"/>
  <c r="G71" i="7"/>
  <c r="H71" i="7" s="1"/>
  <c r="G70" i="7"/>
  <c r="H70" i="7" s="1"/>
  <c r="G69" i="7"/>
  <c r="H69" i="7" s="1"/>
  <c r="G68" i="7"/>
  <c r="H68" i="7" s="1"/>
  <c r="G67" i="7"/>
  <c r="H67" i="7" s="1"/>
  <c r="G66" i="7"/>
  <c r="H66" i="7" s="1"/>
  <c r="G65" i="7"/>
  <c r="H65" i="7" s="1"/>
  <c r="G64" i="7"/>
  <c r="H64" i="7" s="1"/>
  <c r="G63" i="7"/>
  <c r="H63" i="7" s="1"/>
  <c r="G62" i="7"/>
  <c r="H62" i="7" s="1"/>
  <c r="G61" i="7"/>
  <c r="H61" i="7" s="1"/>
  <c r="G60" i="7"/>
  <c r="H60" i="7" s="1"/>
  <c r="G59" i="7"/>
  <c r="H59" i="7" s="1"/>
  <c r="G58" i="7"/>
  <c r="H58" i="7" s="1"/>
  <c r="G57" i="7"/>
  <c r="H57" i="7" s="1"/>
  <c r="G56" i="7"/>
  <c r="H56" i="7" s="1"/>
  <c r="G55" i="7"/>
  <c r="H55" i="7" s="1"/>
  <c r="G54" i="7"/>
  <c r="H54" i="7" s="1"/>
  <c r="G53" i="7"/>
  <c r="H53" i="7" s="1"/>
  <c r="G52" i="7"/>
  <c r="H52" i="7" s="1"/>
  <c r="G51" i="7"/>
  <c r="H51" i="7" s="1"/>
  <c r="G50" i="7"/>
  <c r="H50" i="7" s="1"/>
  <c r="G49" i="7"/>
  <c r="H49" i="7" s="1"/>
  <c r="G48" i="7"/>
  <c r="H48" i="7" s="1"/>
  <c r="G47" i="7"/>
  <c r="H47" i="7" s="1"/>
  <c r="G46" i="7"/>
  <c r="H46" i="7" s="1"/>
  <c r="G45" i="7"/>
  <c r="H45" i="7" s="1"/>
  <c r="G44" i="7"/>
  <c r="H44" i="7" s="1"/>
  <c r="G43" i="7"/>
  <c r="H43" i="7" s="1"/>
  <c r="G42" i="7"/>
  <c r="H42" i="7" s="1"/>
  <c r="H41" i="7"/>
  <c r="G41" i="7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G4" i="7"/>
  <c r="H4" i="7" s="1"/>
  <c r="G3" i="7"/>
  <c r="H3" i="7" s="1"/>
  <c r="G143" i="6"/>
  <c r="H143" i="6" s="1"/>
  <c r="G142" i="6"/>
  <c r="H142" i="6" s="1"/>
  <c r="G141" i="6"/>
  <c r="H141" i="6" s="1"/>
  <c r="G140" i="6"/>
  <c r="H140" i="6" s="1"/>
  <c r="G139" i="6"/>
  <c r="H139" i="6" s="1"/>
  <c r="G138" i="6"/>
  <c r="H138" i="6" s="1"/>
  <c r="G137" i="6"/>
  <c r="H137" i="6" s="1"/>
  <c r="G136" i="6"/>
  <c r="H136" i="6" s="1"/>
  <c r="G135" i="6"/>
  <c r="H135" i="6" s="1"/>
  <c r="G134" i="6"/>
  <c r="H134" i="6" s="1"/>
  <c r="G133" i="6"/>
  <c r="H133" i="6" s="1"/>
  <c r="G132" i="6"/>
  <c r="H132" i="6" s="1"/>
  <c r="G131" i="6"/>
  <c r="H131" i="6" s="1"/>
  <c r="G130" i="6"/>
  <c r="H130" i="6" s="1"/>
  <c r="G129" i="6"/>
  <c r="H129" i="6" s="1"/>
  <c r="G128" i="6"/>
  <c r="H128" i="6" s="1"/>
  <c r="G127" i="6"/>
  <c r="H127" i="6" s="1"/>
  <c r="G126" i="6"/>
  <c r="H126" i="6" s="1"/>
  <c r="G125" i="6"/>
  <c r="H125" i="6" s="1"/>
  <c r="G124" i="6"/>
  <c r="H124" i="6" s="1"/>
  <c r="G123" i="6"/>
  <c r="H123" i="6" s="1"/>
  <c r="G122" i="6"/>
  <c r="H122" i="6" s="1"/>
  <c r="G121" i="6"/>
  <c r="H121" i="6" s="1"/>
  <c r="G120" i="6"/>
  <c r="H120" i="6" s="1"/>
  <c r="G119" i="6"/>
  <c r="H119" i="6" s="1"/>
  <c r="G118" i="6"/>
  <c r="H118" i="6" s="1"/>
  <c r="G117" i="6"/>
  <c r="H117" i="6" s="1"/>
  <c r="G116" i="6"/>
  <c r="H116" i="6" s="1"/>
  <c r="G115" i="6"/>
  <c r="H115" i="6" s="1"/>
  <c r="G114" i="6"/>
  <c r="H114" i="6" s="1"/>
  <c r="G113" i="6"/>
  <c r="H113" i="6" s="1"/>
  <c r="G112" i="6"/>
  <c r="H112" i="6" s="1"/>
  <c r="G111" i="6"/>
  <c r="H111" i="6" s="1"/>
  <c r="G110" i="6"/>
  <c r="H110" i="6" s="1"/>
  <c r="G109" i="6"/>
  <c r="H109" i="6" s="1"/>
  <c r="G108" i="6"/>
  <c r="H108" i="6" s="1"/>
  <c r="G107" i="6"/>
  <c r="H107" i="6" s="1"/>
  <c r="G106" i="6"/>
  <c r="H106" i="6" s="1"/>
  <c r="G105" i="6"/>
  <c r="H105" i="6" s="1"/>
  <c r="G104" i="6"/>
  <c r="H104" i="6" s="1"/>
  <c r="G103" i="6"/>
  <c r="H103" i="6" s="1"/>
  <c r="G102" i="6"/>
  <c r="H102" i="6" s="1"/>
  <c r="G101" i="6"/>
  <c r="H101" i="6" s="1"/>
  <c r="G100" i="6"/>
  <c r="H100" i="6" s="1"/>
  <c r="G99" i="6"/>
  <c r="H99" i="6" s="1"/>
  <c r="G98" i="6"/>
  <c r="H98" i="6" s="1"/>
  <c r="G97" i="6"/>
  <c r="H97" i="6" s="1"/>
  <c r="G96" i="6"/>
  <c r="H96" i="6" s="1"/>
  <c r="G95" i="6"/>
  <c r="H95" i="6" s="1"/>
  <c r="G94" i="6"/>
  <c r="H94" i="6" s="1"/>
  <c r="G93" i="6"/>
  <c r="H93" i="6" s="1"/>
  <c r="G92" i="6"/>
  <c r="H92" i="6" s="1"/>
  <c r="G91" i="6"/>
  <c r="H91" i="6" s="1"/>
  <c r="G90" i="6"/>
  <c r="H90" i="6" s="1"/>
  <c r="G89" i="6"/>
  <c r="H89" i="6" s="1"/>
  <c r="G88" i="6"/>
  <c r="H88" i="6" s="1"/>
  <c r="G87" i="6"/>
  <c r="H87" i="6" s="1"/>
  <c r="G86" i="6"/>
  <c r="H86" i="6" s="1"/>
  <c r="G85" i="6"/>
  <c r="H85" i="6" s="1"/>
  <c r="G84" i="6"/>
  <c r="H84" i="6" s="1"/>
  <c r="G83" i="6"/>
  <c r="H83" i="6" s="1"/>
  <c r="G82" i="6"/>
  <c r="H82" i="6" s="1"/>
  <c r="G81" i="6"/>
  <c r="H81" i="6" s="1"/>
  <c r="G80" i="6"/>
  <c r="H80" i="6" s="1"/>
  <c r="G79" i="6"/>
  <c r="H79" i="6" s="1"/>
  <c r="G78" i="6"/>
  <c r="H78" i="6" s="1"/>
  <c r="G77" i="6"/>
  <c r="H77" i="6" s="1"/>
  <c r="G76" i="6"/>
  <c r="H76" i="6" s="1"/>
  <c r="G75" i="6"/>
  <c r="H75" i="6" s="1"/>
  <c r="G74" i="6"/>
  <c r="H74" i="6" s="1"/>
  <c r="G73" i="6"/>
  <c r="H73" i="6" s="1"/>
  <c r="G72" i="6"/>
  <c r="H72" i="6" s="1"/>
  <c r="G71" i="6"/>
  <c r="H71" i="6" s="1"/>
  <c r="G70" i="6"/>
  <c r="H70" i="6" s="1"/>
  <c r="G69" i="6"/>
  <c r="H69" i="6" s="1"/>
  <c r="G68" i="6"/>
  <c r="H68" i="6" s="1"/>
  <c r="G67" i="6"/>
  <c r="H67" i="6" s="1"/>
  <c r="G66" i="6"/>
  <c r="H66" i="6" s="1"/>
  <c r="G65" i="6"/>
  <c r="H65" i="6" s="1"/>
  <c r="G64" i="6"/>
  <c r="H64" i="6" s="1"/>
  <c r="G63" i="6"/>
  <c r="H63" i="6" s="1"/>
  <c r="G62" i="6"/>
  <c r="H62" i="6" s="1"/>
  <c r="G61" i="6"/>
  <c r="H61" i="6" s="1"/>
  <c r="G60" i="6"/>
  <c r="H60" i="6" s="1"/>
  <c r="G59" i="6"/>
  <c r="H59" i="6" s="1"/>
  <c r="G58" i="6"/>
  <c r="H58" i="6" s="1"/>
  <c r="G57" i="6"/>
  <c r="H57" i="6" s="1"/>
  <c r="G56" i="6"/>
  <c r="H56" i="6" s="1"/>
  <c r="G55" i="6"/>
  <c r="H55" i="6" s="1"/>
  <c r="G54" i="6"/>
  <c r="H54" i="6" s="1"/>
  <c r="G53" i="6"/>
  <c r="H53" i="6" s="1"/>
  <c r="G52" i="6"/>
  <c r="H52" i="6" s="1"/>
  <c r="G51" i="6"/>
  <c r="H51" i="6" s="1"/>
  <c r="G50" i="6"/>
  <c r="H50" i="6" s="1"/>
  <c r="G49" i="6"/>
  <c r="H49" i="6" s="1"/>
  <c r="G48" i="6"/>
  <c r="H48" i="6" s="1"/>
  <c r="G47" i="6"/>
  <c r="H47" i="6" s="1"/>
  <c r="G46" i="6"/>
  <c r="H46" i="6" s="1"/>
  <c r="G45" i="6"/>
  <c r="H45" i="6" s="1"/>
  <c r="G44" i="6"/>
  <c r="H44" i="6" s="1"/>
  <c r="G43" i="6"/>
  <c r="H43" i="6" s="1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G36" i="6"/>
  <c r="H36" i="6" s="1"/>
  <c r="G35" i="6"/>
  <c r="H35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G21" i="6"/>
  <c r="H21" i="6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G99" i="5"/>
  <c r="H99" i="5" s="1"/>
  <c r="G98" i="5"/>
  <c r="H98" i="5" s="1"/>
  <c r="G97" i="5"/>
  <c r="H97" i="5" s="1"/>
  <c r="G96" i="5"/>
  <c r="H96" i="5" s="1"/>
  <c r="G95" i="5"/>
  <c r="H95" i="5" s="1"/>
  <c r="G94" i="5"/>
  <c r="H94" i="5" s="1"/>
  <c r="G93" i="5"/>
  <c r="H93" i="5" s="1"/>
  <c r="G92" i="5"/>
  <c r="H92" i="5" s="1"/>
  <c r="G91" i="5"/>
  <c r="H91" i="5" s="1"/>
  <c r="G90" i="5"/>
  <c r="H90" i="5" s="1"/>
  <c r="G89" i="5"/>
  <c r="H89" i="5" s="1"/>
  <c r="G88" i="5"/>
  <c r="H88" i="5" s="1"/>
  <c r="G87" i="5"/>
  <c r="H87" i="5" s="1"/>
  <c r="G86" i="5"/>
  <c r="H86" i="5" s="1"/>
  <c r="G85" i="5"/>
  <c r="H85" i="5" s="1"/>
  <c r="G84" i="5"/>
  <c r="H84" i="5" s="1"/>
  <c r="G83" i="5"/>
  <c r="H83" i="5" s="1"/>
  <c r="G82" i="5"/>
  <c r="H82" i="5" s="1"/>
  <c r="G81" i="5"/>
  <c r="H81" i="5" s="1"/>
  <c r="G80" i="5"/>
  <c r="H80" i="5" s="1"/>
  <c r="G79" i="5"/>
  <c r="H79" i="5" s="1"/>
  <c r="G78" i="5"/>
  <c r="H78" i="5" s="1"/>
  <c r="G77" i="5"/>
  <c r="H77" i="5" s="1"/>
  <c r="G76" i="5"/>
  <c r="H76" i="5" s="1"/>
  <c r="G75" i="5"/>
  <c r="H75" i="5" s="1"/>
  <c r="G74" i="5"/>
  <c r="H74" i="5" s="1"/>
  <c r="G73" i="5"/>
  <c r="H73" i="5" s="1"/>
  <c r="G72" i="5"/>
  <c r="H72" i="5" s="1"/>
  <c r="G71" i="5"/>
  <c r="H71" i="5" s="1"/>
  <c r="G70" i="5"/>
  <c r="H70" i="5" s="1"/>
  <c r="G69" i="5"/>
  <c r="H69" i="5" s="1"/>
  <c r="G68" i="5"/>
  <c r="H68" i="5" s="1"/>
  <c r="G67" i="5"/>
  <c r="H67" i="5" s="1"/>
  <c r="G66" i="5"/>
  <c r="H66" i="5" s="1"/>
  <c r="G65" i="5"/>
  <c r="H65" i="5" s="1"/>
  <c r="G64" i="5"/>
  <c r="H64" i="5" s="1"/>
  <c r="G63" i="5"/>
  <c r="H63" i="5" s="1"/>
  <c r="G62" i="5"/>
  <c r="H62" i="5" s="1"/>
  <c r="G61" i="5"/>
  <c r="H61" i="5" s="1"/>
  <c r="G60" i="5"/>
  <c r="H60" i="5" s="1"/>
  <c r="G59" i="5"/>
  <c r="H59" i="5" s="1"/>
  <c r="G58" i="5"/>
  <c r="H58" i="5" s="1"/>
  <c r="G57" i="5"/>
  <c r="H57" i="5" s="1"/>
  <c r="G56" i="5"/>
  <c r="H56" i="5" s="1"/>
  <c r="G55" i="5"/>
  <c r="H55" i="5" s="1"/>
  <c r="G54" i="5"/>
  <c r="H54" i="5" s="1"/>
  <c r="G53" i="5"/>
  <c r="H53" i="5" s="1"/>
  <c r="G52" i="5"/>
  <c r="H52" i="5" s="1"/>
  <c r="G51" i="5"/>
  <c r="H51" i="5" s="1"/>
  <c r="G50" i="5"/>
  <c r="H50" i="5" s="1"/>
  <c r="G49" i="5"/>
  <c r="H49" i="5" s="1"/>
  <c r="G48" i="5"/>
  <c r="H48" i="5" s="1"/>
  <c r="G47" i="5"/>
  <c r="H47" i="5" s="1"/>
  <c r="G46" i="5"/>
  <c r="H46" i="5" s="1"/>
  <c r="G45" i="5"/>
  <c r="H45" i="5" s="1"/>
  <c r="G44" i="5"/>
  <c r="H44" i="5" s="1"/>
  <c r="G43" i="5"/>
  <c r="H43" i="5" s="1"/>
  <c r="G42" i="5"/>
  <c r="H42" i="5" s="1"/>
  <c r="G41" i="5"/>
  <c r="H41" i="5" s="1"/>
  <c r="G40" i="5"/>
  <c r="H40" i="5" s="1"/>
  <c r="G39" i="5"/>
  <c r="H39" i="5" s="1"/>
  <c r="G38" i="5"/>
  <c r="H38" i="5" s="1"/>
  <c r="G37" i="5"/>
  <c r="H37" i="5" s="1"/>
  <c r="G36" i="5"/>
  <c r="H36" i="5" s="1"/>
  <c r="G35" i="5"/>
  <c r="H35" i="5" s="1"/>
  <c r="G34" i="5"/>
  <c r="H34" i="5" s="1"/>
  <c r="G33" i="5"/>
  <c r="H33" i="5" s="1"/>
  <c r="G32" i="5"/>
  <c r="H32" i="5" s="1"/>
  <c r="G31" i="5"/>
  <c r="H31" i="5" s="1"/>
  <c r="G30" i="5"/>
  <c r="H30" i="5" s="1"/>
  <c r="G29" i="5"/>
  <c r="H29" i="5" s="1"/>
  <c r="G28" i="5"/>
  <c r="H28" i="5" s="1"/>
  <c r="G27" i="5"/>
  <c r="H27" i="5" s="1"/>
  <c r="G26" i="5"/>
  <c r="H26" i="5" s="1"/>
  <c r="G25" i="5"/>
  <c r="H25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H18" i="5" s="1"/>
  <c r="G17" i="5"/>
  <c r="H17" i="5" s="1"/>
  <c r="G16" i="5"/>
  <c r="H16" i="5" s="1"/>
  <c r="G15" i="5"/>
  <c r="H15" i="5" s="1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G4" i="5"/>
  <c r="H4" i="5" s="1"/>
  <c r="G3" i="5"/>
  <c r="H3" i="5" s="1"/>
  <c r="G132" i="4"/>
  <c r="H132" i="4" s="1"/>
  <c r="G131" i="4"/>
  <c r="H131" i="4" s="1"/>
  <c r="G130" i="4"/>
  <c r="H130" i="4" s="1"/>
  <c r="G129" i="4"/>
  <c r="H129" i="4" s="1"/>
  <c r="G128" i="4"/>
  <c r="H128" i="4" s="1"/>
  <c r="G127" i="4"/>
  <c r="H127" i="4" s="1"/>
  <c r="G126" i="4"/>
  <c r="H126" i="4" s="1"/>
  <c r="G125" i="4"/>
  <c r="H125" i="4" s="1"/>
  <c r="G124" i="4"/>
  <c r="H124" i="4" s="1"/>
  <c r="G123" i="4"/>
  <c r="H123" i="4" s="1"/>
  <c r="G122" i="4"/>
  <c r="H122" i="4" s="1"/>
  <c r="G121" i="4"/>
  <c r="H121" i="4" s="1"/>
  <c r="G120" i="4"/>
  <c r="H120" i="4" s="1"/>
  <c r="G119" i="4"/>
  <c r="H119" i="4" s="1"/>
  <c r="G118" i="4"/>
  <c r="H118" i="4" s="1"/>
  <c r="G117" i="4"/>
  <c r="H117" i="4" s="1"/>
  <c r="G116" i="4"/>
  <c r="H116" i="4" s="1"/>
  <c r="G115" i="4"/>
  <c r="H115" i="4" s="1"/>
  <c r="G114" i="4"/>
  <c r="H114" i="4" s="1"/>
  <c r="G113" i="4"/>
  <c r="H113" i="4" s="1"/>
  <c r="G112" i="4"/>
  <c r="H112" i="4" s="1"/>
  <c r="G111" i="4"/>
  <c r="H111" i="4" s="1"/>
  <c r="G110" i="4"/>
  <c r="H110" i="4" s="1"/>
  <c r="G109" i="4"/>
  <c r="H109" i="4" s="1"/>
  <c r="G108" i="4"/>
  <c r="H108" i="4" s="1"/>
  <c r="G107" i="4"/>
  <c r="H107" i="4" s="1"/>
  <c r="G106" i="4"/>
  <c r="H106" i="4" s="1"/>
  <c r="G105" i="4"/>
  <c r="H105" i="4" s="1"/>
  <c r="G104" i="4"/>
  <c r="H104" i="4" s="1"/>
  <c r="G103" i="4"/>
  <c r="H103" i="4" s="1"/>
  <c r="G102" i="4"/>
  <c r="H102" i="4" s="1"/>
  <c r="G101" i="4"/>
  <c r="H101" i="4" s="1"/>
  <c r="G100" i="4"/>
  <c r="H100" i="4" s="1"/>
  <c r="G99" i="4"/>
  <c r="H99" i="4" s="1"/>
  <c r="G98" i="4"/>
  <c r="H98" i="4" s="1"/>
  <c r="G97" i="4"/>
  <c r="H97" i="4" s="1"/>
  <c r="G96" i="4"/>
  <c r="H96" i="4" s="1"/>
  <c r="G95" i="4"/>
  <c r="H95" i="4" s="1"/>
  <c r="G94" i="4"/>
  <c r="H94" i="4" s="1"/>
  <c r="G93" i="4"/>
  <c r="H93" i="4" s="1"/>
  <c r="G92" i="4"/>
  <c r="H92" i="4" s="1"/>
  <c r="G91" i="4"/>
  <c r="H91" i="4" s="1"/>
  <c r="G90" i="4"/>
  <c r="H90" i="4" s="1"/>
  <c r="G89" i="4"/>
  <c r="H89" i="4" s="1"/>
  <c r="G88" i="4"/>
  <c r="H88" i="4" s="1"/>
  <c r="G87" i="4"/>
  <c r="H87" i="4" s="1"/>
  <c r="G86" i="4"/>
  <c r="H86" i="4" s="1"/>
  <c r="G85" i="4"/>
  <c r="H85" i="4" s="1"/>
  <c r="G84" i="4"/>
  <c r="H84" i="4" s="1"/>
  <c r="G83" i="4"/>
  <c r="H83" i="4" s="1"/>
  <c r="G82" i="4"/>
  <c r="H82" i="4" s="1"/>
  <c r="G81" i="4"/>
  <c r="H81" i="4" s="1"/>
  <c r="G80" i="4"/>
  <c r="H80" i="4" s="1"/>
  <c r="G79" i="4"/>
  <c r="H79" i="4" s="1"/>
  <c r="G78" i="4"/>
  <c r="H78" i="4" s="1"/>
  <c r="G77" i="4"/>
  <c r="H77" i="4" s="1"/>
  <c r="G76" i="4"/>
  <c r="H76" i="4" s="1"/>
  <c r="G75" i="4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G65" i="4"/>
  <c r="H65" i="4" s="1"/>
  <c r="G64" i="4"/>
  <c r="H64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187" i="3"/>
  <c r="H187" i="3" s="1"/>
  <c r="G186" i="3"/>
  <c r="H186" i="3" s="1"/>
  <c r="G185" i="3"/>
  <c r="H185" i="3" s="1"/>
  <c r="G184" i="3"/>
  <c r="H184" i="3" s="1"/>
  <c r="G183" i="3"/>
  <c r="H183" i="3" s="1"/>
  <c r="G182" i="3"/>
  <c r="H182" i="3" s="1"/>
  <c r="G181" i="3"/>
  <c r="H181" i="3" s="1"/>
  <c r="G180" i="3"/>
  <c r="H180" i="3" s="1"/>
  <c r="G179" i="3"/>
  <c r="H179" i="3" s="1"/>
  <c r="G178" i="3"/>
  <c r="H178" i="3" s="1"/>
  <c r="G177" i="3"/>
  <c r="H177" i="3" s="1"/>
  <c r="G176" i="3"/>
  <c r="H176" i="3" s="1"/>
  <c r="G175" i="3"/>
  <c r="H175" i="3" s="1"/>
  <c r="G174" i="3"/>
  <c r="H174" i="3" s="1"/>
  <c r="G173" i="3"/>
  <c r="H173" i="3" s="1"/>
  <c r="G172" i="3"/>
  <c r="H172" i="3" s="1"/>
  <c r="G171" i="3"/>
  <c r="H171" i="3" s="1"/>
  <c r="G170" i="3"/>
  <c r="H170" i="3" s="1"/>
  <c r="G169" i="3"/>
  <c r="H169" i="3" s="1"/>
  <c r="G168" i="3"/>
  <c r="H168" i="3" s="1"/>
  <c r="G167" i="3"/>
  <c r="H167" i="3" s="1"/>
  <c r="G166" i="3"/>
  <c r="H166" i="3" s="1"/>
  <c r="G165" i="3"/>
  <c r="H165" i="3" s="1"/>
  <c r="G164" i="3"/>
  <c r="H164" i="3" s="1"/>
  <c r="G163" i="3"/>
  <c r="H163" i="3" s="1"/>
  <c r="G162" i="3"/>
  <c r="H162" i="3" s="1"/>
  <c r="G161" i="3"/>
  <c r="H161" i="3" s="1"/>
  <c r="G160" i="3"/>
  <c r="H160" i="3" s="1"/>
  <c r="G159" i="3"/>
  <c r="H159" i="3" s="1"/>
  <c r="G158" i="3"/>
  <c r="H158" i="3" s="1"/>
  <c r="G157" i="3"/>
  <c r="H157" i="3" s="1"/>
  <c r="G156" i="3"/>
  <c r="H156" i="3" s="1"/>
  <c r="G155" i="3"/>
  <c r="H155" i="3" s="1"/>
  <c r="G154" i="3"/>
  <c r="H154" i="3" s="1"/>
  <c r="G153" i="3"/>
  <c r="H153" i="3" s="1"/>
  <c r="G152" i="3"/>
  <c r="H152" i="3" s="1"/>
  <c r="G151" i="3"/>
  <c r="H151" i="3" s="1"/>
  <c r="G150" i="3"/>
  <c r="H150" i="3" s="1"/>
  <c r="G149" i="3"/>
  <c r="H149" i="3" s="1"/>
  <c r="G148" i="3"/>
  <c r="H148" i="3" s="1"/>
  <c r="G147" i="3"/>
  <c r="H147" i="3" s="1"/>
  <c r="G146" i="3"/>
  <c r="H146" i="3" s="1"/>
  <c r="G145" i="3"/>
  <c r="H145" i="3" s="1"/>
  <c r="G144" i="3"/>
  <c r="H144" i="3" s="1"/>
  <c r="G143" i="3"/>
  <c r="H143" i="3" s="1"/>
  <c r="G142" i="3"/>
  <c r="H142" i="3" s="1"/>
  <c r="G141" i="3"/>
  <c r="H141" i="3" s="1"/>
  <c r="G140" i="3"/>
  <c r="H140" i="3" s="1"/>
  <c r="G139" i="3"/>
  <c r="H139" i="3" s="1"/>
  <c r="G138" i="3"/>
  <c r="H138" i="3" s="1"/>
  <c r="G137" i="3"/>
  <c r="H137" i="3" s="1"/>
  <c r="G136" i="3"/>
  <c r="H136" i="3" s="1"/>
  <c r="G135" i="3"/>
  <c r="H135" i="3" s="1"/>
  <c r="G134" i="3"/>
  <c r="H134" i="3" s="1"/>
  <c r="G133" i="3"/>
  <c r="H133" i="3" s="1"/>
  <c r="G132" i="3"/>
  <c r="H132" i="3" s="1"/>
  <c r="G131" i="3"/>
  <c r="H131" i="3" s="1"/>
  <c r="G130" i="3"/>
  <c r="H130" i="3" s="1"/>
  <c r="G129" i="3"/>
  <c r="H129" i="3" s="1"/>
  <c r="G128" i="3"/>
  <c r="H128" i="3" s="1"/>
  <c r="G127" i="3"/>
  <c r="H127" i="3" s="1"/>
  <c r="G126" i="3"/>
  <c r="H126" i="3" s="1"/>
  <c r="G125" i="3"/>
  <c r="H125" i="3" s="1"/>
  <c r="G124" i="3"/>
  <c r="H124" i="3" s="1"/>
  <c r="G123" i="3"/>
  <c r="H123" i="3" s="1"/>
  <c r="G122" i="3"/>
  <c r="H122" i="3" s="1"/>
  <c r="G121" i="3"/>
  <c r="H121" i="3" s="1"/>
  <c r="G120" i="3"/>
  <c r="H120" i="3" s="1"/>
  <c r="G119" i="3"/>
  <c r="H119" i="3" s="1"/>
  <c r="G118" i="3"/>
  <c r="H118" i="3" s="1"/>
  <c r="G117" i="3"/>
  <c r="H117" i="3" s="1"/>
  <c r="G116" i="3"/>
  <c r="H116" i="3" s="1"/>
  <c r="G115" i="3"/>
  <c r="H115" i="3" s="1"/>
  <c r="G114" i="3"/>
  <c r="H114" i="3" s="1"/>
  <c r="G113" i="3"/>
  <c r="H113" i="3" s="1"/>
  <c r="G112" i="3"/>
  <c r="H112" i="3" s="1"/>
  <c r="G111" i="3"/>
  <c r="H111" i="3" s="1"/>
  <c r="G110" i="3"/>
  <c r="H110" i="3" s="1"/>
  <c r="G109" i="3"/>
  <c r="H109" i="3" s="1"/>
  <c r="G108" i="3"/>
  <c r="H108" i="3" s="1"/>
  <c r="G107" i="3"/>
  <c r="H107" i="3" s="1"/>
  <c r="G106" i="3"/>
  <c r="H106" i="3" s="1"/>
  <c r="G105" i="3"/>
  <c r="H105" i="3" s="1"/>
  <c r="G104" i="3"/>
  <c r="H104" i="3" s="1"/>
  <c r="G103" i="3"/>
  <c r="H103" i="3" s="1"/>
  <c r="G102" i="3"/>
  <c r="H102" i="3" s="1"/>
  <c r="G101" i="3"/>
  <c r="H101" i="3" s="1"/>
  <c r="G100" i="3"/>
  <c r="H100" i="3" s="1"/>
  <c r="G99" i="3"/>
  <c r="H99" i="3" s="1"/>
  <c r="G98" i="3"/>
  <c r="H98" i="3" s="1"/>
  <c r="G97" i="3"/>
  <c r="H97" i="3" s="1"/>
  <c r="G96" i="3"/>
  <c r="H96" i="3" s="1"/>
  <c r="G95" i="3"/>
  <c r="H95" i="3" s="1"/>
  <c r="G94" i="3"/>
  <c r="H94" i="3" s="1"/>
  <c r="G93" i="3"/>
  <c r="H93" i="3" s="1"/>
  <c r="G92" i="3"/>
  <c r="H92" i="3" s="1"/>
  <c r="G91" i="3"/>
  <c r="H91" i="3" s="1"/>
  <c r="G90" i="3"/>
  <c r="H90" i="3" s="1"/>
  <c r="G89" i="3"/>
  <c r="H89" i="3" s="1"/>
  <c r="G88" i="3"/>
  <c r="H88" i="3" s="1"/>
  <c r="G87" i="3"/>
  <c r="H87" i="3" s="1"/>
  <c r="G86" i="3"/>
  <c r="H86" i="3" s="1"/>
  <c r="G85" i="3"/>
  <c r="H85" i="3" s="1"/>
  <c r="G84" i="3"/>
  <c r="H84" i="3" s="1"/>
  <c r="G83" i="3"/>
  <c r="H83" i="3" s="1"/>
  <c r="G82" i="3"/>
  <c r="H82" i="3" s="1"/>
  <c r="G81" i="3"/>
  <c r="H81" i="3" s="1"/>
  <c r="G80" i="3"/>
  <c r="H80" i="3" s="1"/>
  <c r="G79" i="3"/>
  <c r="H79" i="3" s="1"/>
  <c r="G78" i="3"/>
  <c r="H78" i="3" s="1"/>
  <c r="G77" i="3"/>
  <c r="H77" i="3" s="1"/>
  <c r="G76" i="3"/>
  <c r="H76" i="3" s="1"/>
  <c r="G75" i="3"/>
  <c r="H75" i="3" s="1"/>
  <c r="G74" i="3"/>
  <c r="H74" i="3" s="1"/>
  <c r="G73" i="3"/>
  <c r="H73" i="3" s="1"/>
  <c r="G72" i="3"/>
  <c r="H72" i="3" s="1"/>
  <c r="G71" i="3"/>
  <c r="H71" i="3" s="1"/>
  <c r="G70" i="3"/>
  <c r="H70" i="3" s="1"/>
  <c r="G69" i="3"/>
  <c r="H69" i="3" s="1"/>
  <c r="G68" i="3"/>
  <c r="H68" i="3" s="1"/>
  <c r="G67" i="3"/>
  <c r="H67" i="3" s="1"/>
  <c r="G66" i="3"/>
  <c r="H66" i="3" s="1"/>
  <c r="G65" i="3"/>
  <c r="H65" i="3" s="1"/>
  <c r="G64" i="3"/>
  <c r="H64" i="3" s="1"/>
  <c r="G63" i="3"/>
  <c r="H63" i="3" s="1"/>
  <c r="G62" i="3"/>
  <c r="H62" i="3" s="1"/>
  <c r="G61" i="3"/>
  <c r="H61" i="3" s="1"/>
  <c r="G60" i="3"/>
  <c r="H60" i="3" s="1"/>
  <c r="G59" i="3"/>
  <c r="H59" i="3" s="1"/>
  <c r="G58" i="3"/>
  <c r="H58" i="3" s="1"/>
  <c r="G57" i="3"/>
  <c r="H57" i="3" s="1"/>
  <c r="G56" i="3"/>
  <c r="H56" i="3" s="1"/>
  <c r="G55" i="3"/>
  <c r="H55" i="3" s="1"/>
  <c r="G54" i="3"/>
  <c r="H54" i="3" s="1"/>
  <c r="G53" i="3"/>
  <c r="H53" i="3" s="1"/>
  <c r="G52" i="3"/>
  <c r="H52" i="3" s="1"/>
  <c r="G51" i="3"/>
  <c r="H51" i="3" s="1"/>
  <c r="G50" i="3"/>
  <c r="H50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8" i="3"/>
  <c r="H38" i="3" s="1"/>
  <c r="G37" i="3"/>
  <c r="H37" i="3" s="1"/>
  <c r="G36" i="3"/>
  <c r="H36" i="3" s="1"/>
  <c r="G35" i="3"/>
  <c r="H35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G25" i="3"/>
  <c r="H25" i="3" s="1"/>
  <c r="G24" i="3"/>
  <c r="H24" i="3" s="1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G786" i="2"/>
  <c r="H786" i="2" s="1"/>
  <c r="G785" i="2"/>
  <c r="H785" i="2" s="1"/>
  <c r="G784" i="2"/>
  <c r="H784" i="2" s="1"/>
  <c r="G783" i="2"/>
  <c r="H783" i="2" s="1"/>
  <c r="G782" i="2"/>
  <c r="H782" i="2" s="1"/>
  <c r="G781" i="2"/>
  <c r="H781" i="2" s="1"/>
  <c r="G780" i="2"/>
  <c r="H780" i="2" s="1"/>
  <c r="G779" i="2"/>
  <c r="H779" i="2" s="1"/>
  <c r="G778" i="2"/>
  <c r="H778" i="2" s="1"/>
  <c r="G777" i="2"/>
  <c r="H777" i="2" s="1"/>
  <c r="G776" i="2"/>
  <c r="H776" i="2" s="1"/>
  <c r="G775" i="2"/>
  <c r="H775" i="2" s="1"/>
  <c r="G774" i="2"/>
  <c r="H774" i="2" s="1"/>
  <c r="G773" i="2"/>
  <c r="H773" i="2" s="1"/>
  <c r="G772" i="2"/>
  <c r="H772" i="2" s="1"/>
  <c r="G771" i="2"/>
  <c r="H771" i="2" s="1"/>
  <c r="G770" i="2"/>
  <c r="H770" i="2" s="1"/>
  <c r="G769" i="2"/>
  <c r="H769" i="2" s="1"/>
  <c r="G768" i="2"/>
  <c r="H768" i="2" s="1"/>
  <c r="G767" i="2"/>
  <c r="H767" i="2" s="1"/>
  <c r="G766" i="2"/>
  <c r="H766" i="2" s="1"/>
  <c r="G765" i="2"/>
  <c r="H765" i="2" s="1"/>
  <c r="G764" i="2"/>
  <c r="H764" i="2" s="1"/>
  <c r="G763" i="2"/>
  <c r="H763" i="2" s="1"/>
  <c r="G762" i="2"/>
  <c r="H762" i="2" s="1"/>
  <c r="G761" i="2"/>
  <c r="H761" i="2" s="1"/>
  <c r="G760" i="2"/>
  <c r="H760" i="2" s="1"/>
  <c r="G759" i="2"/>
  <c r="H759" i="2" s="1"/>
  <c r="G758" i="2"/>
  <c r="H758" i="2" s="1"/>
  <c r="G757" i="2"/>
  <c r="H757" i="2" s="1"/>
  <c r="G756" i="2"/>
  <c r="H756" i="2" s="1"/>
  <c r="G755" i="2"/>
  <c r="H755" i="2" s="1"/>
  <c r="G754" i="2"/>
  <c r="H754" i="2" s="1"/>
  <c r="G753" i="2"/>
  <c r="H753" i="2" s="1"/>
  <c r="G752" i="2"/>
  <c r="H752" i="2" s="1"/>
  <c r="G751" i="2"/>
  <c r="H751" i="2" s="1"/>
  <c r="G750" i="2"/>
  <c r="H750" i="2" s="1"/>
  <c r="G749" i="2"/>
  <c r="H749" i="2" s="1"/>
  <c r="G748" i="2"/>
  <c r="H748" i="2" s="1"/>
  <c r="G747" i="2"/>
  <c r="H747" i="2" s="1"/>
  <c r="G746" i="2"/>
  <c r="H746" i="2" s="1"/>
  <c r="G745" i="2"/>
  <c r="H745" i="2" s="1"/>
  <c r="G744" i="2"/>
  <c r="H744" i="2" s="1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G737" i="2"/>
  <c r="H737" i="2" s="1"/>
  <c r="G736" i="2"/>
  <c r="H736" i="2" s="1"/>
  <c r="G735" i="2"/>
  <c r="H735" i="2" s="1"/>
  <c r="G734" i="2"/>
  <c r="H734" i="2" s="1"/>
  <c r="G733" i="2"/>
  <c r="H733" i="2" s="1"/>
  <c r="G732" i="2"/>
  <c r="H732" i="2" s="1"/>
  <c r="G731" i="2"/>
  <c r="H731" i="2" s="1"/>
  <c r="G730" i="2"/>
  <c r="H730" i="2" s="1"/>
  <c r="G729" i="2"/>
  <c r="H729" i="2" s="1"/>
  <c r="G728" i="2"/>
  <c r="H728" i="2" s="1"/>
  <c r="G727" i="2"/>
  <c r="H727" i="2" s="1"/>
  <c r="G726" i="2"/>
  <c r="H726" i="2" s="1"/>
  <c r="G725" i="2"/>
  <c r="H725" i="2" s="1"/>
  <c r="G724" i="2"/>
  <c r="H724" i="2" s="1"/>
  <c r="G723" i="2"/>
  <c r="H723" i="2" s="1"/>
  <c r="G722" i="2"/>
  <c r="H722" i="2" s="1"/>
  <c r="G721" i="2"/>
  <c r="H721" i="2" s="1"/>
  <c r="G720" i="2"/>
  <c r="H720" i="2" s="1"/>
  <c r="G719" i="2"/>
  <c r="H719" i="2" s="1"/>
  <c r="G718" i="2"/>
  <c r="H718" i="2" s="1"/>
  <c r="G717" i="2"/>
  <c r="H717" i="2" s="1"/>
  <c r="G716" i="2"/>
  <c r="H716" i="2" s="1"/>
  <c r="G715" i="2"/>
  <c r="H715" i="2" s="1"/>
  <c r="G714" i="2"/>
  <c r="H714" i="2" s="1"/>
  <c r="G713" i="2"/>
  <c r="H713" i="2" s="1"/>
  <c r="G712" i="2"/>
  <c r="H712" i="2" s="1"/>
  <c r="G711" i="2"/>
  <c r="H711" i="2" s="1"/>
  <c r="G710" i="2"/>
  <c r="H710" i="2" s="1"/>
  <c r="G709" i="2"/>
  <c r="H709" i="2" s="1"/>
  <c r="G708" i="2"/>
  <c r="H708" i="2" s="1"/>
  <c r="G707" i="2"/>
  <c r="H707" i="2" s="1"/>
  <c r="G706" i="2"/>
  <c r="H706" i="2" s="1"/>
  <c r="G705" i="2"/>
  <c r="H705" i="2" s="1"/>
  <c r="G704" i="2"/>
  <c r="H704" i="2" s="1"/>
  <c r="G703" i="2"/>
  <c r="H703" i="2" s="1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G694" i="2"/>
  <c r="H694" i="2" s="1"/>
  <c r="G693" i="2"/>
  <c r="H693" i="2" s="1"/>
  <c r="G692" i="2"/>
  <c r="H692" i="2" s="1"/>
  <c r="G691" i="2"/>
  <c r="H691" i="2" s="1"/>
  <c r="G690" i="2"/>
  <c r="H690" i="2" s="1"/>
  <c r="G689" i="2"/>
  <c r="H689" i="2" s="1"/>
  <c r="G688" i="2"/>
  <c r="H688" i="2" s="1"/>
  <c r="G687" i="2"/>
  <c r="H687" i="2" s="1"/>
  <c r="G686" i="2"/>
  <c r="H686" i="2" s="1"/>
  <c r="G685" i="2"/>
  <c r="H685" i="2" s="1"/>
  <c r="G684" i="2"/>
  <c r="H684" i="2" s="1"/>
  <c r="G683" i="2"/>
  <c r="H683" i="2" s="1"/>
  <c r="G682" i="2"/>
  <c r="H682" i="2" s="1"/>
  <c r="G681" i="2"/>
  <c r="H681" i="2" s="1"/>
  <c r="G680" i="2"/>
  <c r="H680" i="2" s="1"/>
  <c r="G679" i="2"/>
  <c r="H679" i="2" s="1"/>
  <c r="G678" i="2"/>
  <c r="H678" i="2" s="1"/>
  <c r="G677" i="2"/>
  <c r="H677" i="2" s="1"/>
  <c r="G676" i="2"/>
  <c r="H676" i="2" s="1"/>
  <c r="G675" i="2"/>
  <c r="H675" i="2" s="1"/>
  <c r="G674" i="2"/>
  <c r="H674" i="2" s="1"/>
  <c r="G673" i="2"/>
  <c r="H673" i="2" s="1"/>
  <c r="G672" i="2"/>
  <c r="H672" i="2" s="1"/>
  <c r="G671" i="2"/>
  <c r="H671" i="2" s="1"/>
  <c r="G670" i="2"/>
  <c r="H670" i="2" s="1"/>
  <c r="G669" i="2"/>
  <c r="H669" i="2" s="1"/>
  <c r="G668" i="2"/>
  <c r="H668" i="2" s="1"/>
  <c r="G667" i="2"/>
  <c r="H667" i="2" s="1"/>
  <c r="G666" i="2"/>
  <c r="H666" i="2" s="1"/>
  <c r="G665" i="2"/>
  <c r="H665" i="2" s="1"/>
  <c r="G664" i="2"/>
  <c r="H664" i="2" s="1"/>
  <c r="G663" i="2"/>
  <c r="H663" i="2" s="1"/>
  <c r="G662" i="2"/>
  <c r="H662" i="2" s="1"/>
  <c r="G661" i="2"/>
  <c r="H661" i="2" s="1"/>
  <c r="G660" i="2"/>
  <c r="H660" i="2" s="1"/>
  <c r="G659" i="2"/>
  <c r="H659" i="2" s="1"/>
  <c r="G658" i="2"/>
  <c r="H658" i="2" s="1"/>
  <c r="G657" i="2"/>
  <c r="H657" i="2" s="1"/>
  <c r="G656" i="2"/>
  <c r="H656" i="2" s="1"/>
  <c r="G655" i="2"/>
  <c r="H655" i="2" s="1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G647" i="2"/>
  <c r="H647" i="2" s="1"/>
  <c r="G646" i="2"/>
  <c r="H646" i="2" s="1"/>
  <c r="G645" i="2"/>
  <c r="H645" i="2" s="1"/>
  <c r="G644" i="2"/>
  <c r="H644" i="2" s="1"/>
  <c r="G643" i="2"/>
  <c r="H643" i="2" s="1"/>
  <c r="G642" i="2"/>
  <c r="H642" i="2" s="1"/>
  <c r="G641" i="2"/>
  <c r="H641" i="2" s="1"/>
  <c r="G640" i="2"/>
  <c r="H640" i="2" s="1"/>
  <c r="G639" i="2"/>
  <c r="H639" i="2" s="1"/>
  <c r="G638" i="2"/>
  <c r="H638" i="2" s="1"/>
  <c r="G637" i="2"/>
  <c r="H637" i="2" s="1"/>
  <c r="G636" i="2"/>
  <c r="H636" i="2" s="1"/>
  <c r="G635" i="2"/>
  <c r="H635" i="2" s="1"/>
  <c r="G634" i="2"/>
  <c r="H634" i="2" s="1"/>
  <c r="G633" i="2"/>
  <c r="H633" i="2" s="1"/>
  <c r="G632" i="2"/>
  <c r="H632" i="2" s="1"/>
  <c r="G631" i="2"/>
  <c r="H631" i="2" s="1"/>
  <c r="G630" i="2"/>
  <c r="H630" i="2" s="1"/>
  <c r="G629" i="2"/>
  <c r="H629" i="2" s="1"/>
  <c r="G628" i="2"/>
  <c r="H628" i="2" s="1"/>
  <c r="G627" i="2"/>
  <c r="H627" i="2" s="1"/>
  <c r="G626" i="2"/>
  <c r="H626" i="2" s="1"/>
  <c r="G625" i="2"/>
  <c r="H625" i="2" s="1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G613" i="2"/>
  <c r="H613" i="2" s="1"/>
  <c r="G612" i="2"/>
  <c r="H612" i="2" s="1"/>
  <c r="G611" i="2"/>
  <c r="H611" i="2" s="1"/>
  <c r="G610" i="2"/>
  <c r="H610" i="2" s="1"/>
  <c r="G609" i="2"/>
  <c r="H609" i="2" s="1"/>
  <c r="G608" i="2"/>
  <c r="H608" i="2" s="1"/>
  <c r="G607" i="2"/>
  <c r="H607" i="2" s="1"/>
  <c r="G606" i="2"/>
  <c r="H606" i="2" s="1"/>
  <c r="G605" i="2"/>
  <c r="H605" i="2" s="1"/>
  <c r="G604" i="2"/>
  <c r="H604" i="2" s="1"/>
  <c r="G603" i="2"/>
  <c r="H603" i="2" s="1"/>
  <c r="G601" i="2"/>
  <c r="H601" i="2" s="1"/>
  <c r="G600" i="2"/>
  <c r="H600" i="2" s="1"/>
  <c r="G599" i="2"/>
  <c r="H599" i="2" s="1"/>
  <c r="G598" i="2"/>
  <c r="H598" i="2" s="1"/>
  <c r="G597" i="2"/>
  <c r="H597" i="2" s="1"/>
  <c r="G596" i="2"/>
  <c r="H596" i="2" s="1"/>
  <c r="G595" i="2"/>
  <c r="H595" i="2" s="1"/>
  <c r="G594" i="2"/>
  <c r="H594" i="2" s="1"/>
  <c r="G593" i="2"/>
  <c r="H593" i="2" s="1"/>
  <c r="G592" i="2"/>
  <c r="H592" i="2" s="1"/>
  <c r="G591" i="2"/>
  <c r="H591" i="2" s="1"/>
  <c r="G590" i="2"/>
  <c r="H590" i="2" s="1"/>
  <c r="G589" i="2"/>
  <c r="H589" i="2" s="1"/>
  <c r="G588" i="2"/>
  <c r="H588" i="2" s="1"/>
  <c r="G587" i="2"/>
  <c r="H587" i="2" s="1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G580" i="2"/>
  <c r="H580" i="2" s="1"/>
  <c r="G579" i="2"/>
  <c r="H579" i="2" s="1"/>
  <c r="G578" i="2"/>
  <c r="H578" i="2" s="1"/>
  <c r="G577" i="2"/>
  <c r="H577" i="2" s="1"/>
  <c r="G576" i="2"/>
  <c r="H576" i="2" s="1"/>
  <c r="G575" i="2"/>
  <c r="H575" i="2" s="1"/>
  <c r="G574" i="2"/>
  <c r="H574" i="2" s="1"/>
  <c r="G573" i="2"/>
  <c r="H573" i="2" s="1"/>
  <c r="G572" i="2"/>
  <c r="H572" i="2" s="1"/>
  <c r="G571" i="2"/>
  <c r="H571" i="2" s="1"/>
  <c r="G570" i="2"/>
  <c r="H570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G563" i="2"/>
  <c r="H563" i="2" s="1"/>
  <c r="G562" i="2"/>
  <c r="H562" i="2" s="1"/>
  <c r="G561" i="2"/>
  <c r="H561" i="2" s="1"/>
  <c r="G560" i="2"/>
  <c r="H560" i="2" s="1"/>
  <c r="G559" i="2"/>
  <c r="H559" i="2" s="1"/>
  <c r="G558" i="2"/>
  <c r="H558" i="2" s="1"/>
  <c r="G557" i="2"/>
  <c r="H557" i="2" s="1"/>
  <c r="G556" i="2"/>
  <c r="H556" i="2" s="1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G549" i="2"/>
  <c r="H549" i="2" s="1"/>
  <c r="G548" i="2"/>
  <c r="H548" i="2" s="1"/>
  <c r="G547" i="2"/>
  <c r="H547" i="2" s="1"/>
  <c r="G546" i="2"/>
  <c r="H546" i="2" s="1"/>
  <c r="G545" i="2"/>
  <c r="H545" i="2" s="1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G538" i="2"/>
  <c r="H538" i="2" s="1"/>
  <c r="G537" i="2"/>
  <c r="H537" i="2" s="1"/>
  <c r="G536" i="2"/>
  <c r="H536" i="2" s="1"/>
  <c r="G535" i="2"/>
  <c r="H535" i="2" s="1"/>
  <c r="G534" i="2"/>
  <c r="H534" i="2" s="1"/>
  <c r="G533" i="2"/>
  <c r="H533" i="2" s="1"/>
  <c r="G532" i="2"/>
  <c r="H532" i="2" s="1"/>
  <c r="G531" i="2"/>
  <c r="H531" i="2" s="1"/>
  <c r="G530" i="2"/>
  <c r="H530" i="2" s="1"/>
  <c r="G529" i="2"/>
  <c r="H529" i="2" s="1"/>
  <c r="G528" i="2"/>
  <c r="H528" i="2" s="1"/>
  <c r="G527" i="2"/>
  <c r="H527" i="2" s="1"/>
  <c r="G526" i="2"/>
  <c r="H526" i="2" s="1"/>
  <c r="G525" i="2"/>
  <c r="H525" i="2" s="1"/>
  <c r="G524" i="2"/>
  <c r="H524" i="2" s="1"/>
  <c r="G523" i="2"/>
  <c r="H523" i="2" s="1"/>
  <c r="G522" i="2"/>
  <c r="H522" i="2" s="1"/>
  <c r="G521" i="2"/>
  <c r="H521" i="2" s="1"/>
  <c r="G520" i="2"/>
  <c r="H520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G513" i="2"/>
  <c r="H513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G506" i="2"/>
  <c r="H506" i="2" s="1"/>
  <c r="G505" i="2"/>
  <c r="H505" i="2" s="1"/>
  <c r="G504" i="2"/>
  <c r="H504" i="2" s="1"/>
  <c r="G503" i="2"/>
  <c r="H503" i="2" s="1"/>
  <c r="G502" i="2"/>
  <c r="H502" i="2" s="1"/>
  <c r="G501" i="2"/>
  <c r="H501" i="2" s="1"/>
  <c r="G500" i="2"/>
  <c r="H500" i="2" s="1"/>
  <c r="G499" i="2"/>
  <c r="H499" i="2" s="1"/>
  <c r="G498" i="2"/>
  <c r="H498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G485" i="2"/>
  <c r="H485" i="2" s="1"/>
  <c r="G484" i="2"/>
  <c r="H484" i="2" s="1"/>
  <c r="G483" i="2"/>
  <c r="H483" i="2" s="1"/>
  <c r="G482" i="2"/>
  <c r="H482" i="2" s="1"/>
  <c r="G481" i="2"/>
  <c r="H481" i="2" s="1"/>
  <c r="G480" i="2"/>
  <c r="H480" i="2" s="1"/>
  <c r="G479" i="2"/>
  <c r="H479" i="2" s="1"/>
  <c r="G478" i="2"/>
  <c r="H478" i="2" s="1"/>
  <c r="G477" i="2"/>
  <c r="H477" i="2" s="1"/>
  <c r="G476" i="2"/>
  <c r="H476" i="2" s="1"/>
  <c r="G475" i="2"/>
  <c r="H475" i="2" s="1"/>
  <c r="G474" i="2"/>
  <c r="H474" i="2" s="1"/>
  <c r="G473" i="2"/>
  <c r="H473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65" i="2"/>
  <c r="H465" i="2" s="1"/>
  <c r="G464" i="2"/>
  <c r="H464" i="2" s="1"/>
  <c r="G463" i="2"/>
  <c r="H463" i="2" s="1"/>
  <c r="G462" i="2"/>
  <c r="H462" i="2" s="1"/>
  <c r="G461" i="2"/>
  <c r="H461" i="2" s="1"/>
  <c r="G460" i="2"/>
  <c r="H460" i="2" s="1"/>
  <c r="G459" i="2"/>
  <c r="H459" i="2" s="1"/>
  <c r="G458" i="2"/>
  <c r="H458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G442" i="2"/>
  <c r="H442" i="2" s="1"/>
  <c r="G441" i="2"/>
  <c r="H441" i="2" s="1"/>
  <c r="G440" i="2"/>
  <c r="H440" i="2" s="1"/>
  <c r="G439" i="2"/>
  <c r="H439" i="2" s="1"/>
  <c r="G438" i="2"/>
  <c r="H438" i="2" s="1"/>
  <c r="G437" i="2"/>
  <c r="H437" i="2" s="1"/>
  <c r="G436" i="2"/>
  <c r="H436" i="2" s="1"/>
  <c r="G435" i="2"/>
  <c r="H435" i="2" s="1"/>
  <c r="G434" i="2"/>
  <c r="H434" i="2" s="1"/>
  <c r="G433" i="2"/>
  <c r="H433" i="2" s="1"/>
  <c r="G432" i="2"/>
  <c r="H432" i="2" s="1"/>
  <c r="G431" i="2"/>
  <c r="H431" i="2" s="1"/>
  <c r="G430" i="2"/>
  <c r="H430" i="2" s="1"/>
  <c r="G429" i="2"/>
  <c r="H429" i="2" s="1"/>
  <c r="G428" i="2"/>
  <c r="H428" i="2" s="1"/>
  <c r="G427" i="2"/>
  <c r="H427" i="2" s="1"/>
  <c r="G426" i="2"/>
  <c r="H426" i="2" s="1"/>
  <c r="G425" i="2"/>
  <c r="H425" i="2" s="1"/>
  <c r="G424" i="2"/>
  <c r="H424" i="2" s="1"/>
  <c r="G423" i="2"/>
  <c r="H423" i="2" s="1"/>
  <c r="G422" i="2"/>
  <c r="H422" i="2" s="1"/>
  <c r="G421" i="2"/>
  <c r="H421" i="2" s="1"/>
  <c r="G420" i="2"/>
  <c r="H420" i="2" s="1"/>
  <c r="G419" i="2"/>
  <c r="H419" i="2" s="1"/>
  <c r="G418" i="2"/>
  <c r="H418" i="2" s="1"/>
  <c r="G417" i="2"/>
  <c r="H417" i="2" s="1"/>
  <c r="G416" i="2"/>
  <c r="H416" i="2" s="1"/>
  <c r="G415" i="2"/>
  <c r="H415" i="2" s="1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402" i="2"/>
  <c r="H402" i="2" s="1"/>
  <c r="G401" i="2"/>
  <c r="H401" i="2" s="1"/>
  <c r="G400" i="2"/>
  <c r="H400" i="2" s="1"/>
  <c r="G399" i="2"/>
  <c r="H399" i="2" s="1"/>
  <c r="G398" i="2"/>
  <c r="H398" i="2" s="1"/>
  <c r="G397" i="2"/>
  <c r="H397" i="2" s="1"/>
  <c r="G396" i="2"/>
  <c r="H396" i="2" s="1"/>
  <c r="G395" i="2"/>
  <c r="H395" i="2" s="1"/>
  <c r="G394" i="2"/>
  <c r="H394" i="2" s="1"/>
  <c r="G393" i="2"/>
  <c r="H393" i="2" s="1"/>
  <c r="G392" i="2"/>
  <c r="H392" i="2" s="1"/>
  <c r="G391" i="2"/>
  <c r="H391" i="2" s="1"/>
  <c r="G390" i="2"/>
  <c r="H390" i="2" s="1"/>
  <c r="G389" i="2"/>
  <c r="H389" i="2" s="1"/>
  <c r="G388" i="2"/>
  <c r="H388" i="2" s="1"/>
  <c r="G387" i="2"/>
  <c r="H387" i="2" s="1"/>
  <c r="G386" i="2"/>
  <c r="H386" i="2" s="1"/>
  <c r="G385" i="2"/>
  <c r="H385" i="2" s="1"/>
  <c r="G384" i="2"/>
  <c r="H384" i="2" s="1"/>
  <c r="G383" i="2"/>
  <c r="H383" i="2" s="1"/>
  <c r="G382" i="2"/>
  <c r="H382" i="2" s="1"/>
  <c r="G381" i="2"/>
  <c r="H381" i="2" s="1"/>
  <c r="G380" i="2"/>
  <c r="H380" i="2" s="1"/>
  <c r="G379" i="2"/>
  <c r="H379" i="2" s="1"/>
  <c r="G378" i="2"/>
  <c r="H378" i="2" s="1"/>
  <c r="G377" i="2"/>
  <c r="H377" i="2" s="1"/>
  <c r="G376" i="2"/>
  <c r="H376" i="2" s="1"/>
  <c r="G375" i="2"/>
  <c r="H375" i="2" s="1"/>
  <c r="G374" i="2"/>
  <c r="H374" i="2" s="1"/>
  <c r="G373" i="2"/>
  <c r="H373" i="2" s="1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63" i="2"/>
  <c r="H363" i="2" s="1"/>
  <c r="G362" i="2"/>
  <c r="H362" i="2" s="1"/>
  <c r="G361" i="2"/>
  <c r="H361" i="2" s="1"/>
  <c r="G360" i="2"/>
  <c r="H360" i="2" s="1"/>
  <c r="G359" i="2"/>
  <c r="H359" i="2" s="1"/>
  <c r="G358" i="2"/>
  <c r="H358" i="2" s="1"/>
  <c r="G357" i="2"/>
  <c r="H357" i="2" s="1"/>
  <c r="G356" i="2"/>
  <c r="H356" i="2" s="1"/>
  <c r="G355" i="2"/>
  <c r="H355" i="2" s="1"/>
  <c r="G354" i="2"/>
  <c r="H354" i="2" s="1"/>
  <c r="G353" i="2"/>
  <c r="H353" i="2" s="1"/>
  <c r="G352" i="2"/>
  <c r="H352" i="2" s="1"/>
  <c r="G351" i="2"/>
  <c r="H351" i="2" s="1"/>
  <c r="G350" i="2"/>
  <c r="H350" i="2" s="1"/>
  <c r="G349" i="2"/>
  <c r="H349" i="2" s="1"/>
  <c r="G348" i="2"/>
  <c r="H348" i="2" s="1"/>
  <c r="G347" i="2"/>
  <c r="H347" i="2" s="1"/>
  <c r="G346" i="2"/>
  <c r="H346" i="2" s="1"/>
  <c r="G345" i="2"/>
  <c r="H345" i="2" s="1"/>
  <c r="G344" i="2"/>
  <c r="H344" i="2" s="1"/>
  <c r="G343" i="2"/>
  <c r="H343" i="2" s="1"/>
  <c r="G342" i="2"/>
  <c r="H342" i="2" s="1"/>
  <c r="G341" i="2"/>
  <c r="H341" i="2" s="1"/>
  <c r="G340" i="2"/>
  <c r="H340" i="2" s="1"/>
  <c r="G339" i="2"/>
  <c r="H339" i="2" s="1"/>
  <c r="G338" i="2"/>
  <c r="H338" i="2" s="1"/>
  <c r="G337" i="2"/>
  <c r="H337" i="2" s="1"/>
  <c r="G336" i="2"/>
  <c r="H336" i="2" s="1"/>
  <c r="G335" i="2"/>
  <c r="H335" i="2" s="1"/>
  <c r="G334" i="2"/>
  <c r="H334" i="2" s="1"/>
  <c r="G333" i="2"/>
  <c r="H333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G325" i="2"/>
  <c r="H325" i="2" s="1"/>
  <c r="G324" i="2"/>
  <c r="H324" i="2" s="1"/>
  <c r="G323" i="2"/>
  <c r="H323" i="2" s="1"/>
  <c r="G322" i="2"/>
  <c r="H322" i="2" s="1"/>
  <c r="G321" i="2"/>
  <c r="H321" i="2" s="1"/>
  <c r="G320" i="2"/>
  <c r="H320" i="2" s="1"/>
  <c r="G319" i="2"/>
  <c r="H319" i="2" s="1"/>
  <c r="G318" i="2"/>
  <c r="H318" i="2" s="1"/>
  <c r="G317" i="2"/>
  <c r="H317" i="2" s="1"/>
  <c r="G316" i="2"/>
  <c r="H316" i="2" s="1"/>
  <c r="G315" i="2"/>
  <c r="H315" i="2" s="1"/>
  <c r="G314" i="2"/>
  <c r="H314" i="2" s="1"/>
  <c r="G313" i="2"/>
  <c r="H313" i="2" s="1"/>
  <c r="G312" i="2"/>
  <c r="H312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G301" i="2"/>
  <c r="H301" i="2" s="1"/>
  <c r="G300" i="2"/>
  <c r="H300" i="2" s="1"/>
  <c r="G299" i="2"/>
  <c r="H299" i="2" s="1"/>
  <c r="G298" i="2"/>
  <c r="H298" i="2" s="1"/>
  <c r="G297" i="2"/>
  <c r="H297" i="2" s="1"/>
  <c r="G296" i="2"/>
  <c r="H296" i="2" s="1"/>
  <c r="G295" i="2"/>
  <c r="H295" i="2" s="1"/>
  <c r="G294" i="2"/>
  <c r="H294" i="2" s="1"/>
  <c r="G293" i="2"/>
  <c r="H293" i="2" s="1"/>
  <c r="G292" i="2"/>
  <c r="H292" i="2" s="1"/>
  <c r="G291" i="2"/>
  <c r="H291" i="2" s="1"/>
  <c r="G290" i="2"/>
  <c r="H290" i="2" s="1"/>
  <c r="G289" i="2"/>
  <c r="H289" i="2" s="1"/>
  <c r="G288" i="2"/>
  <c r="H288" i="2" s="1"/>
  <c r="G287" i="2"/>
  <c r="H287" i="2" s="1"/>
  <c r="G286" i="2"/>
  <c r="H286" i="2" s="1"/>
  <c r="G285" i="2"/>
  <c r="H285" i="2" s="1"/>
  <c r="G284" i="2"/>
  <c r="H284" i="2" s="1"/>
  <c r="G283" i="2"/>
  <c r="H283" i="2" s="1"/>
  <c r="G282" i="2"/>
  <c r="H282" i="2" s="1"/>
  <c r="G281" i="2"/>
  <c r="H281" i="2" s="1"/>
  <c r="G280" i="2"/>
  <c r="H280" i="2" s="1"/>
  <c r="G279" i="2"/>
  <c r="H279" i="2" s="1"/>
  <c r="G278" i="2"/>
  <c r="H278" i="2" s="1"/>
  <c r="G277" i="2"/>
  <c r="H277" i="2" s="1"/>
  <c r="G276" i="2"/>
  <c r="H276" i="2" s="1"/>
  <c r="G275" i="2"/>
  <c r="H275" i="2" s="1"/>
  <c r="G274" i="2"/>
  <c r="H274" i="2" s="1"/>
  <c r="G273" i="2"/>
  <c r="H273" i="2" s="1"/>
  <c r="G272" i="2"/>
  <c r="H272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G262" i="2"/>
  <c r="H262" i="2" s="1"/>
  <c r="G261" i="2"/>
  <c r="H261" i="2" s="1"/>
  <c r="G260" i="2"/>
  <c r="H260" i="2" s="1"/>
  <c r="G259" i="2"/>
  <c r="H259" i="2" s="1"/>
  <c r="G258" i="2"/>
  <c r="H258" i="2" s="1"/>
  <c r="G257" i="2"/>
  <c r="H257" i="2" s="1"/>
  <c r="G256" i="2"/>
  <c r="H256" i="2" s="1"/>
  <c r="G255" i="2"/>
  <c r="H255" i="2" s="1"/>
  <c r="G254" i="2"/>
  <c r="H254" i="2" s="1"/>
  <c r="G253" i="2"/>
  <c r="H253" i="2" s="1"/>
  <c r="G252" i="2"/>
  <c r="H252" i="2" s="1"/>
  <c r="G251" i="2"/>
  <c r="H251" i="2" s="1"/>
  <c r="G250" i="2"/>
  <c r="H250" i="2" s="1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H155" i="2"/>
  <c r="G155" i="2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</calcChain>
</file>

<file path=xl/sharedStrings.xml><?xml version="1.0" encoding="utf-8"?>
<sst xmlns="http://schemas.openxmlformats.org/spreadsheetml/2006/main" count="11810" uniqueCount="2422">
  <si>
    <t>UBND XÃ TAM XUÂN</t>
  </si>
  <si>
    <t>DANH SÁCH KHÁM BỆNH  XÃ TAM XUÂN</t>
  </si>
  <si>
    <t>Đơi vị thực hiện:</t>
  </si>
  <si>
    <t>Ngày khám:</t>
  </si>
  <si>
    <t>TT</t>
  </si>
  <si>
    <t>Ngày khám</t>
  </si>
  <si>
    <t>Họ Và Tên</t>
  </si>
  <si>
    <t>Đối Tượng</t>
  </si>
  <si>
    <t>Năm sinh</t>
  </si>
  <si>
    <t>NĂM SINH</t>
  </si>
  <si>
    <t>TUỔI</t>
  </si>
  <si>
    <t>Giới tính</t>
  </si>
  <si>
    <t>Địa chỉ</t>
  </si>
  <si>
    <t>Số điện thoại</t>
  </si>
  <si>
    <t>Số CCCD</t>
  </si>
  <si>
    <t>Tiền sử bệnh ( THA,ĐTĐ,COPD/Hen PQ</t>
  </si>
  <si>
    <t>Chỉ số HA</t>
  </si>
  <si>
    <t>Chiều cao</t>
  </si>
  <si>
    <t>Cân nặng</t>
  </si>
  <si>
    <t xml:space="preserve">Mạch </t>
  </si>
  <si>
    <t>Mắt P</t>
  </si>
  <si>
    <t>Mắt T</t>
  </si>
  <si>
    <t xml:space="preserve">Chỉ số đường máu </t>
  </si>
  <si>
    <t>Kết luận</t>
  </si>
  <si>
    <t>NAM</t>
  </si>
  <si>
    <t>NỮ</t>
  </si>
  <si>
    <t>NGUYỄN THỊ YẾN</t>
  </si>
  <si>
    <t>X</t>
  </si>
  <si>
    <t>Long Thạnh</t>
  </si>
  <si>
    <t>049170014104</t>
  </si>
  <si>
    <t>110/60</t>
  </si>
  <si>
    <t>TRẦN THỊ THIỆN</t>
  </si>
  <si>
    <t>NGỌC AN</t>
  </si>
  <si>
    <t>049147006567</t>
  </si>
  <si>
    <t>130/80</t>
  </si>
  <si>
    <t>TRẦN THỊ BẠN</t>
  </si>
  <si>
    <t>0394817331</t>
  </si>
  <si>
    <t>049162002903</t>
  </si>
  <si>
    <t>120/75</t>
  </si>
  <si>
    <t>DƯƠNG THỊ HỒNG</t>
  </si>
  <si>
    <t>NCT</t>
  </si>
  <si>
    <t>049148005401</t>
  </si>
  <si>
    <t>160/80</t>
  </si>
  <si>
    <t>NGUYỄN THỊ NGA</t>
  </si>
  <si>
    <t>049153002761</t>
  </si>
  <si>
    <t>116/74</t>
  </si>
  <si>
    <t>NGUYỄN THỊ THANH TRÚC</t>
  </si>
  <si>
    <t>049171005998</t>
  </si>
  <si>
    <t>112/73</t>
  </si>
  <si>
    <t>TRẦN VĂN NGHI</t>
  </si>
  <si>
    <t>049080012139</t>
  </si>
  <si>
    <t>132/78</t>
  </si>
  <si>
    <t>NGUYỄN THỊ CƯ</t>
  </si>
  <si>
    <t>049167009830</t>
  </si>
  <si>
    <t>126/83</t>
  </si>
  <si>
    <t>LÊ THỊ KIM ÂN</t>
  </si>
  <si>
    <t>049185005856</t>
  </si>
  <si>
    <t>105/71</t>
  </si>
  <si>
    <t>NGUYỄN THỊ KIM ANH</t>
  </si>
  <si>
    <t>049166009050</t>
  </si>
  <si>
    <t>120/70</t>
  </si>
  <si>
    <t>ĐINH THỊ THANH HẰNG</t>
  </si>
  <si>
    <t>049304012150</t>
  </si>
  <si>
    <t>91/74</t>
  </si>
  <si>
    <t>ĐỖ QUẢNG</t>
  </si>
  <si>
    <t>049048002693</t>
  </si>
  <si>
    <t>179/88</t>
  </si>
  <si>
    <t>TRẦN THỊ LÊ</t>
  </si>
  <si>
    <t>049172010639</t>
  </si>
  <si>
    <t>191/83</t>
  </si>
  <si>
    <t>ĐỖ MINH DƯƠNG</t>
  </si>
  <si>
    <t>049066018202</t>
  </si>
  <si>
    <t>148/90</t>
  </si>
  <si>
    <t>NGUYỄN THANH</t>
  </si>
  <si>
    <t>049037004233</t>
  </si>
  <si>
    <t>108/69</t>
  </si>
  <si>
    <t>NGUYỄN THỊ HÙNG</t>
  </si>
  <si>
    <t>049148006895</t>
  </si>
  <si>
    <t>138/64</t>
  </si>
  <si>
    <t>NGUYỄN PHƯỚC</t>
  </si>
  <si>
    <t>049044004413</t>
  </si>
  <si>
    <t>133/72</t>
  </si>
  <si>
    <t>NGUYỄN THỊ MINH DỤC</t>
  </si>
  <si>
    <t>049175012435</t>
  </si>
  <si>
    <t>91/68</t>
  </si>
  <si>
    <t>NGUYỄN HỒNG ANH</t>
  </si>
  <si>
    <t>0490740007012</t>
  </si>
  <si>
    <t>120/80</t>
  </si>
  <si>
    <t>NGUYỄN THỊ THƯƠNG</t>
  </si>
  <si>
    <t>049154008200</t>
  </si>
  <si>
    <t>156/83</t>
  </si>
  <si>
    <t>NGUYỄN XUÂN THÁI</t>
  </si>
  <si>
    <t>KT</t>
  </si>
  <si>
    <t>049086017762</t>
  </si>
  <si>
    <t>123/78</t>
  </si>
  <si>
    <t>HUỲNH THỊ LÝ</t>
  </si>
  <si>
    <t>049163004375</t>
  </si>
  <si>
    <t>87/62</t>
  </si>
  <si>
    <t>NGUYỄN VĂN HIỆU</t>
  </si>
  <si>
    <t>049056003396</t>
  </si>
  <si>
    <t>138/91</t>
  </si>
  <si>
    <t>NGUYỄN VĂN ẤN</t>
  </si>
  <si>
    <t>LONG THẠNH</t>
  </si>
  <si>
    <t>049059004328</t>
  </si>
  <si>
    <t>160/90</t>
  </si>
  <si>
    <t>NGUYỄN THỊ LIÊN</t>
  </si>
  <si>
    <t>049159003351</t>
  </si>
  <si>
    <t>TRẦN THỊ THU</t>
  </si>
  <si>
    <t>049154013976</t>
  </si>
  <si>
    <t>H</t>
  </si>
  <si>
    <t>TRẦN QUỐC KIỆT</t>
  </si>
  <si>
    <t>&lt;18T</t>
  </si>
  <si>
    <t>049213009577</t>
  </si>
  <si>
    <t>110/70</t>
  </si>
  <si>
    <t>VÕ ANH</t>
  </si>
  <si>
    <t>Hà Lộc</t>
  </si>
  <si>
    <t>049028002039</t>
  </si>
  <si>
    <t>2M</t>
  </si>
  <si>
    <t>NGUYỄN THỊ SƯƠNG</t>
  </si>
  <si>
    <t>049154407858</t>
  </si>
  <si>
    <t>VÕ THỊ PHƯƠNG</t>
  </si>
  <si>
    <t>049152007381</t>
  </si>
  <si>
    <t>4m</t>
  </si>
  <si>
    <t>NGUYỄN TÂM</t>
  </si>
  <si>
    <t>049053006807</t>
  </si>
  <si>
    <t>177/98</t>
  </si>
  <si>
    <t>VÕ THỊ MƠ</t>
  </si>
  <si>
    <t>049143004721</t>
  </si>
  <si>
    <t>96/61</t>
  </si>
  <si>
    <t>4M</t>
  </si>
  <si>
    <t>BBT</t>
  </si>
  <si>
    <t>VÕ THỊ HOA</t>
  </si>
  <si>
    <t>049147004014</t>
  </si>
  <si>
    <t>151/78</t>
  </si>
  <si>
    <t>BÙI NGỌC HÒA</t>
  </si>
  <si>
    <t>049099004207</t>
  </si>
  <si>
    <t>105/60</t>
  </si>
  <si>
    <t>HUỲNH THỊ HOA</t>
  </si>
  <si>
    <t>049152005167</t>
  </si>
  <si>
    <t>148/78</t>
  </si>
  <si>
    <t>LÊ THỊ BÍCH HÀ</t>
  </si>
  <si>
    <t>049187010428</t>
  </si>
  <si>
    <t>049162003741</t>
  </si>
  <si>
    <t>140/80</t>
  </si>
  <si>
    <t>HUỲNH THỊ SỰ</t>
  </si>
  <si>
    <t>049172002708</t>
  </si>
  <si>
    <t>100/70</t>
  </si>
  <si>
    <t>NGUYỄN THỊ CỪU</t>
  </si>
  <si>
    <t>049134004790</t>
  </si>
  <si>
    <t>130/70</t>
  </si>
  <si>
    <t>3M</t>
  </si>
  <si>
    <t>HUỲNH THỊ TUYẾT</t>
  </si>
  <si>
    <t>049155009043</t>
  </si>
  <si>
    <t>95/52</t>
  </si>
  <si>
    <t>TRẦN THỊ PHƯƠNG</t>
  </si>
  <si>
    <t>049155006946</t>
  </si>
  <si>
    <t>5M</t>
  </si>
  <si>
    <t>049172007686</t>
  </si>
  <si>
    <t>NGUYỄN THỊ ĐÔNG</t>
  </si>
  <si>
    <t>049175010764</t>
  </si>
  <si>
    <t>HỒ THỊ THIỂU</t>
  </si>
  <si>
    <t>049198001385</t>
  </si>
  <si>
    <t>NGUYỄN THỊ TÂN</t>
  </si>
  <si>
    <t>049137004260</t>
  </si>
  <si>
    <t>049151006067</t>
  </si>
  <si>
    <t>NGUYỄN THỊ SA</t>
  </si>
  <si>
    <t>049172017548</t>
  </si>
  <si>
    <t>TRẦN HOA LINH</t>
  </si>
  <si>
    <t>049060009206</t>
  </si>
  <si>
    <t>172/100</t>
  </si>
  <si>
    <t>NGUYỄN THẮNG</t>
  </si>
  <si>
    <t>049046002407</t>
  </si>
  <si>
    <t>148/68</t>
  </si>
  <si>
    <t>VÕ THỊ LẪM</t>
  </si>
  <si>
    <t>049166010933</t>
  </si>
  <si>
    <t>115/75</t>
  </si>
  <si>
    <t>VÕ THỊ TIN</t>
  </si>
  <si>
    <t>049149005193</t>
  </si>
  <si>
    <t>NGUYỄN MINH KHAI</t>
  </si>
  <si>
    <t>049066011535</t>
  </si>
  <si>
    <t>170/118</t>
  </si>
  <si>
    <t>VÕ THỊ ĐÀO</t>
  </si>
  <si>
    <t>049147004625</t>
  </si>
  <si>
    <t>140/76</t>
  </si>
  <si>
    <t>LÊ VĂN LO</t>
  </si>
  <si>
    <t>049099011872</t>
  </si>
  <si>
    <t>130/76</t>
  </si>
  <si>
    <t>MAI VĂN LỢI</t>
  </si>
  <si>
    <t>049069016651</t>
  </si>
  <si>
    <t>151/79</t>
  </si>
  <si>
    <t>NGUYỄN THỊ NHỊ</t>
  </si>
  <si>
    <t>CN</t>
  </si>
  <si>
    <t>049150004406</t>
  </si>
  <si>
    <t>149/84</t>
  </si>
  <si>
    <t>0.5M</t>
  </si>
  <si>
    <t>NGUYỄN VĂN ĐỨC</t>
  </si>
  <si>
    <t>0978569589</t>
  </si>
  <si>
    <t>049072009831</t>
  </si>
  <si>
    <t>NGUYỄN THỊ HỌC</t>
  </si>
  <si>
    <t>049147006584</t>
  </si>
  <si>
    <t>125/90</t>
  </si>
  <si>
    <t>LÊ THỊ XUÂN</t>
  </si>
  <si>
    <t>049169019893</t>
  </si>
  <si>
    <t>116/73</t>
  </si>
  <si>
    <t>LÊ THỊ LÝ</t>
  </si>
  <si>
    <t>049141001966</t>
  </si>
  <si>
    <t>121/69</t>
  </si>
  <si>
    <t>PHẠM THỊ VỮNG</t>
  </si>
  <si>
    <t>049143003778</t>
  </si>
  <si>
    <t>135/70</t>
  </si>
  <si>
    <t>1M</t>
  </si>
  <si>
    <t>MAI HIỂU</t>
  </si>
  <si>
    <t>x</t>
  </si>
  <si>
    <t>049041003608</t>
  </si>
  <si>
    <t>172/88</t>
  </si>
  <si>
    <t>NGUYỄN THỊ CHUNG</t>
  </si>
  <si>
    <t>049146003169</t>
  </si>
  <si>
    <t>122/68</t>
  </si>
  <si>
    <t>VÕ VĂN CẢNH</t>
  </si>
  <si>
    <t>049068017027</t>
  </si>
  <si>
    <t>166/85</t>
  </si>
  <si>
    <t>TRẦN ĐÌNH KIỂM</t>
  </si>
  <si>
    <t>049048003137</t>
  </si>
  <si>
    <t>TRẦN THỊ HIỆP</t>
  </si>
  <si>
    <t>049148003510</t>
  </si>
  <si>
    <t>HUỲNH VĂN ÂN</t>
  </si>
  <si>
    <t>049052008411</t>
  </si>
  <si>
    <t>135/73</t>
  </si>
  <si>
    <t>BÙI VIẾT HẢI</t>
  </si>
  <si>
    <t>049047004066</t>
  </si>
  <si>
    <t>TRẦN VĂN DƯƠNG</t>
  </si>
  <si>
    <t>049050006350</t>
  </si>
  <si>
    <t>121/73</t>
  </si>
  <si>
    <t>BÙI VĂN MAI</t>
  </si>
  <si>
    <t>049049005433</t>
  </si>
  <si>
    <t>169/98</t>
  </si>
  <si>
    <t>ĐẶNG CÔNG MAI</t>
  </si>
  <si>
    <t>049061003884</t>
  </si>
  <si>
    <t>123/62</t>
  </si>
  <si>
    <t>NGUYỄN VĂN GIÁM</t>
  </si>
  <si>
    <t>049066015504</t>
  </si>
  <si>
    <t>140/91</t>
  </si>
  <si>
    <t>NGUYỄN THỊ TUYẾT</t>
  </si>
  <si>
    <t>049152004329</t>
  </si>
  <si>
    <t>120/73</t>
  </si>
  <si>
    <t>NGUYỄN THỊ HUÂN</t>
  </si>
  <si>
    <t>049155012212</t>
  </si>
  <si>
    <t>209/59</t>
  </si>
  <si>
    <t>049147002534</t>
  </si>
  <si>
    <t>NGUYỄN VĂN BÁ</t>
  </si>
  <si>
    <t>049051002692</t>
  </si>
  <si>
    <t>149/95</t>
  </si>
  <si>
    <t>THA</t>
  </si>
  <si>
    <t>NGUYỄN THỊ MƯỜI</t>
  </si>
  <si>
    <t>049170018315</t>
  </si>
  <si>
    <t>111/93</t>
  </si>
  <si>
    <t>PHAN THỊ TẨN</t>
  </si>
  <si>
    <t>049145004389</t>
  </si>
  <si>
    <t>110/65</t>
  </si>
  <si>
    <t>PHÚ BÌNH</t>
  </si>
  <si>
    <t>NGUYỄN THỊ TRINH</t>
  </si>
  <si>
    <t>NGHÈO</t>
  </si>
  <si>
    <t>049140006872</t>
  </si>
  <si>
    <t>140/70</t>
  </si>
  <si>
    <t>NGUYỄN THANH TÙNG</t>
  </si>
  <si>
    <t>049070018768</t>
  </si>
  <si>
    <t>131/77</t>
  </si>
  <si>
    <t>ĐOÀN THỊ SANG</t>
  </si>
  <si>
    <t>049148002872</t>
  </si>
  <si>
    <t>LỮ THỊ CHUNG</t>
  </si>
  <si>
    <t>049154004497</t>
  </si>
  <si>
    <t>TRẦN THỊ HẠNH</t>
  </si>
  <si>
    <t>049149007354</t>
  </si>
  <si>
    <t>170/100</t>
  </si>
  <si>
    <t>049147002176</t>
  </si>
  <si>
    <t>200/90</t>
  </si>
  <si>
    <t>NGUYỄN THỊ DIỄM</t>
  </si>
  <si>
    <t>049170015173</t>
  </si>
  <si>
    <t>LÊ VĂN PHÁT</t>
  </si>
  <si>
    <t>049061004298</t>
  </si>
  <si>
    <t>120/60</t>
  </si>
  <si>
    <t>VÕ THỊ MAI</t>
  </si>
  <si>
    <t>0398581622</t>
  </si>
  <si>
    <t>049147001999</t>
  </si>
  <si>
    <t>150/90</t>
  </si>
  <si>
    <t>TRẦN VĂN LẠC</t>
  </si>
  <si>
    <t>0364703221</t>
  </si>
  <si>
    <t>049072022732</t>
  </si>
  <si>
    <t>140/90</t>
  </si>
  <si>
    <t>NGUYỄN THUẬN</t>
  </si>
  <si>
    <t>0868440991</t>
  </si>
  <si>
    <t>049047004807</t>
  </si>
  <si>
    <t>NGUYỄN THỊ TƯỜNG VI</t>
  </si>
  <si>
    <t>049185012758</t>
  </si>
  <si>
    <t>HỞ VAN TIM/SUY TIM</t>
  </si>
  <si>
    <t>LÊ THỊ HIẾN</t>
  </si>
  <si>
    <t>049145007842</t>
  </si>
  <si>
    <t>NGUYỄN THÊM</t>
  </si>
  <si>
    <t>049042003302</t>
  </si>
  <si>
    <t>HUỲNH TẤN CHÂU</t>
  </si>
  <si>
    <t>049070011597</t>
  </si>
  <si>
    <t>TRẦN THỊ HOẠT</t>
  </si>
  <si>
    <t>CC</t>
  </si>
  <si>
    <t>30/10/1972</t>
  </si>
  <si>
    <t>0349670652</t>
  </si>
  <si>
    <t>049172006739</t>
  </si>
  <si>
    <t>LỮ THỊ HỢI</t>
  </si>
  <si>
    <t>0326787870</t>
  </si>
  <si>
    <t>049195010133</t>
  </si>
  <si>
    <t>110/75</t>
  </si>
  <si>
    <t>NGUYỄN THỊ MỴ DUNG</t>
  </si>
  <si>
    <t>0384897005</t>
  </si>
  <si>
    <t>049183007042</t>
  </si>
  <si>
    <t>115/70</t>
  </si>
  <si>
    <t>PHAN THỊ VƯƠNG</t>
  </si>
  <si>
    <t>0379735610</t>
  </si>
  <si>
    <t>049076000537</t>
  </si>
  <si>
    <t>NGUYỄN THỊ BẠN</t>
  </si>
  <si>
    <t>0357731719</t>
  </si>
  <si>
    <t>049180015044</t>
  </si>
  <si>
    <t>114/66</t>
  </si>
  <si>
    <t>BASE DOW ĐANG ĐIỀU TRỊ THUỐC</t>
  </si>
  <si>
    <t>NGUYỄN THỊ ÁNH</t>
  </si>
  <si>
    <t>049150005371</t>
  </si>
  <si>
    <t>TRẦN THỊ KÝ</t>
  </si>
  <si>
    <t>049155009996</t>
  </si>
  <si>
    <t>148/80</t>
  </si>
  <si>
    <t>NGUYỄN XUÂN THANH</t>
  </si>
  <si>
    <t>0358781364</t>
  </si>
  <si>
    <t>049074004143</t>
  </si>
  <si>
    <t>131/74</t>
  </si>
  <si>
    <t>0389099204</t>
  </si>
  <si>
    <t>049078016629</t>
  </si>
  <si>
    <t>160/100</t>
  </si>
  <si>
    <t>THA ĐANG ĐT</t>
  </si>
  <si>
    <t>NGUYỄN THỊ THỨ</t>
  </si>
  <si>
    <t>0397155727</t>
  </si>
  <si>
    <t>049188000894</t>
  </si>
  <si>
    <t>107/70</t>
  </si>
  <si>
    <t>BÙI THỊ TÂM</t>
  </si>
  <si>
    <t>049153004974</t>
  </si>
  <si>
    <t>NGUYỄN THỊ XỨNG</t>
  </si>
  <si>
    <t>049150011625</t>
  </si>
  <si>
    <t>BÙI VĂN HOÀNG</t>
  </si>
  <si>
    <t>049090019423</t>
  </si>
  <si>
    <t>HỎNG</t>
  </si>
  <si>
    <t>THCSTL</t>
  </si>
  <si>
    <t>BÙI VĂN THÀNH</t>
  </si>
  <si>
    <t>049093010889</t>
  </si>
  <si>
    <t>BÙI THỊ CÚC</t>
  </si>
  <si>
    <t>049164017154</t>
  </si>
  <si>
    <t>NGUYỄN THỊ VÂN</t>
  </si>
  <si>
    <t>049146005404</t>
  </si>
  <si>
    <t>ĐTĐ/ THCSTL</t>
  </si>
  <si>
    <t>NGUYỄN THỊ HOA</t>
  </si>
  <si>
    <t>049156002899</t>
  </si>
  <si>
    <t>165/86</t>
  </si>
  <si>
    <t>HUỲNH TẤN VIỆN</t>
  </si>
  <si>
    <t>049088006930</t>
  </si>
  <si>
    <t>ĐINH VĂN DŨNG</t>
  </si>
  <si>
    <t>049074005066</t>
  </si>
  <si>
    <t>NGUYỄN THỊ TIẾN</t>
  </si>
  <si>
    <t>049190019889</t>
  </si>
  <si>
    <t>124/87</t>
  </si>
  <si>
    <t>CẬN LOẠN</t>
  </si>
  <si>
    <t>CAO THỊ THÔNG</t>
  </si>
  <si>
    <t>049145005934</t>
  </si>
  <si>
    <t>134/66</t>
  </si>
  <si>
    <t>TRẦN VĂN NHANH</t>
  </si>
  <si>
    <t>049046004031</t>
  </si>
  <si>
    <t>139/77</t>
  </si>
  <si>
    <t>NGUYỄN THỊ KIÊM</t>
  </si>
  <si>
    <t>049147005750</t>
  </si>
  <si>
    <t>140/85</t>
  </si>
  <si>
    <t>TRẦN THỊ LỢI</t>
  </si>
  <si>
    <t>049142003933</t>
  </si>
  <si>
    <t>120/110</t>
  </si>
  <si>
    <t>THA ĐANG ĐT/ ĐTĐ</t>
  </si>
  <si>
    <t>NGUYỄN THỊ SANH</t>
  </si>
  <si>
    <t>049174009105</t>
  </si>
  <si>
    <t>135/100</t>
  </si>
  <si>
    <t>TRẦN QUANG VIỄN</t>
  </si>
  <si>
    <t>049058011293</t>
  </si>
  <si>
    <t>166/81</t>
  </si>
  <si>
    <t>HUỲNH THỊ TRƯNG</t>
  </si>
  <si>
    <t>049142003963</t>
  </si>
  <si>
    <t>130/100</t>
  </si>
  <si>
    <t>MAI THỊ KIỀU</t>
  </si>
  <si>
    <t>049152010112</t>
  </si>
  <si>
    <t>135/80</t>
  </si>
  <si>
    <t>NGUYỄN NGỌC VINH</t>
  </si>
  <si>
    <t>049033003999</t>
  </si>
  <si>
    <t>142/74</t>
  </si>
  <si>
    <t>LÊ THỊ THOA</t>
  </si>
  <si>
    <t>049197006409</t>
  </si>
  <si>
    <t>102/69</t>
  </si>
  <si>
    <t>HUỲNH THỊ HÀ</t>
  </si>
  <si>
    <t>049175014655</t>
  </si>
  <si>
    <t>PHAN THANH TUYỂN</t>
  </si>
  <si>
    <t>049064027970</t>
  </si>
  <si>
    <t>128/95</t>
  </si>
  <si>
    <t>HUỲNH THỊ ĐIỀN</t>
  </si>
  <si>
    <t>0335887831</t>
  </si>
  <si>
    <t>049169009916</t>
  </si>
  <si>
    <t>MAI VĂN NGỌC</t>
  </si>
  <si>
    <t>049067013717</t>
  </si>
  <si>
    <t>DC NMN</t>
  </si>
  <si>
    <t>NGUYỄN ĐÌNH VỊ</t>
  </si>
  <si>
    <t>0389149340</t>
  </si>
  <si>
    <t>049096003114</t>
  </si>
  <si>
    <t>NGUYỄN THỊ HƯƠNG</t>
  </si>
  <si>
    <t>049152007924</t>
  </si>
  <si>
    <t>CAO THỊ THU HÀ</t>
  </si>
  <si>
    <t>049171009682</t>
  </si>
  <si>
    <t>THIẾU MÁU NÃO</t>
  </si>
  <si>
    <t>NGUYỄN VĂN THÊM</t>
  </si>
  <si>
    <t>0386471325</t>
  </si>
  <si>
    <t>049062012236</t>
  </si>
  <si>
    <t>145/90</t>
  </si>
  <si>
    <t>THA/THCSTL</t>
  </si>
  <si>
    <t>CAO QUÂN BÁO</t>
  </si>
  <si>
    <t>0334802640</t>
  </si>
  <si>
    <t>049069013783</t>
  </si>
  <si>
    <t>CAO VĂN ANH</t>
  </si>
  <si>
    <t>0363420697</t>
  </si>
  <si>
    <t>049063011540</t>
  </si>
  <si>
    <t>165/80</t>
  </si>
  <si>
    <t>NGÔ THỊ ÁNH</t>
  </si>
  <si>
    <t>0344366549</t>
  </si>
  <si>
    <t>049163009584</t>
  </si>
  <si>
    <t>143/90</t>
  </si>
  <si>
    <t>TRẦN VĂN BÌNH</t>
  </si>
  <si>
    <t>0704667670</t>
  </si>
  <si>
    <t>049063011984</t>
  </si>
  <si>
    <t>PHẠM THỊ VINH</t>
  </si>
  <si>
    <t>0338280966</t>
  </si>
  <si>
    <t>049158013678</t>
  </si>
  <si>
    <t>125/83</t>
  </si>
  <si>
    <t>NGUYỄN THỊ HOA SEN</t>
  </si>
  <si>
    <t>0876332922</t>
  </si>
  <si>
    <t>049184004650</t>
  </si>
  <si>
    <t>95/60</t>
  </si>
  <si>
    <t>NGÔ THỊ LỆ</t>
  </si>
  <si>
    <t>0385093496</t>
  </si>
  <si>
    <t>049173006318</t>
  </si>
  <si>
    <t>HUỲNH THỊ LỆ</t>
  </si>
  <si>
    <t>049164006398</t>
  </si>
  <si>
    <t>TRẦN ĐÌNH TÂM</t>
  </si>
  <si>
    <t>049067011443</t>
  </si>
  <si>
    <t>TRẦN THỊ NƯƠNG</t>
  </si>
  <si>
    <t>0357222465</t>
  </si>
  <si>
    <t>049173007480</t>
  </si>
  <si>
    <t>MAI VĂN NAM</t>
  </si>
  <si>
    <t>0366890732</t>
  </si>
  <si>
    <t>049058007605</t>
  </si>
  <si>
    <t>NGUYỄN VĂN THƯA</t>
  </si>
  <si>
    <t>049048012109</t>
  </si>
  <si>
    <t>HUỲNH THỊ LĨNH</t>
  </si>
  <si>
    <t>049175014416</t>
  </si>
  <si>
    <t>NGUYỄN THỊ TỰ</t>
  </si>
  <si>
    <t>049138991580</t>
  </si>
  <si>
    <t>0383097002</t>
  </si>
  <si>
    <t>049166011587</t>
  </si>
  <si>
    <t>111/73</t>
  </si>
  <si>
    <t>NGUYỄN THỊ XUÂN</t>
  </si>
  <si>
    <t>049163004231</t>
  </si>
  <si>
    <t>NGUYỄN HAY</t>
  </si>
  <si>
    <t>049052002763</t>
  </si>
  <si>
    <t>HUỲNH LONG</t>
  </si>
  <si>
    <t>049032000082</t>
  </si>
  <si>
    <t>190/100</t>
  </si>
  <si>
    <t>THA/ SUY TIM</t>
  </si>
  <si>
    <t>CHÂU VĂN NAM VIỆT</t>
  </si>
  <si>
    <t>049070017993</t>
  </si>
  <si>
    <t>BÙI THỊ THANH MAI</t>
  </si>
  <si>
    <t>049156006338</t>
  </si>
  <si>
    <t>VÕ THỊ HỒNG</t>
  </si>
  <si>
    <t>0362020288</t>
  </si>
  <si>
    <t>049154013831</t>
  </si>
  <si>
    <t>HUỲNH THỊ ANH</t>
  </si>
  <si>
    <t>0963268141</t>
  </si>
  <si>
    <t>049154003210</t>
  </si>
  <si>
    <t>NGUYỄN THỊ VĂN</t>
  </si>
  <si>
    <t>0333625583</t>
  </si>
  <si>
    <t>049151003512</t>
  </si>
  <si>
    <t>BÙI VĂN THẬN</t>
  </si>
  <si>
    <t>0356023906</t>
  </si>
  <si>
    <t>049068008014</t>
  </si>
  <si>
    <t>NGUYỄN THỊ THU</t>
  </si>
  <si>
    <t>049163004323</t>
  </si>
  <si>
    <t>NGUYỄN THỊ TÂM</t>
  </si>
  <si>
    <t>049154010411</t>
  </si>
  <si>
    <t>NGUYỄN THỊ THẢO</t>
  </si>
  <si>
    <t>049169010614</t>
  </si>
  <si>
    <t>95/63</t>
  </si>
  <si>
    <t>ĐỖ THỊ CẨM</t>
  </si>
  <si>
    <t>049157004892</t>
  </si>
  <si>
    <t>NGUYỄN HỮU LIỆU</t>
  </si>
  <si>
    <t>049041003826</t>
  </si>
  <si>
    <t>119/57</t>
  </si>
  <si>
    <t>VÕ QUANG TOẢN</t>
  </si>
  <si>
    <t>049067012240</t>
  </si>
  <si>
    <t>TRẦN THỊ BA</t>
  </si>
  <si>
    <t>049171009502</t>
  </si>
  <si>
    <t>100/60</t>
  </si>
  <si>
    <t>PT CẮT GAN P</t>
  </si>
  <si>
    <t>HỒ VIẾT VƯƠNG</t>
  </si>
  <si>
    <t>049094017932</t>
  </si>
  <si>
    <t>125/72</t>
  </si>
  <si>
    <t>BÙI ĐỨC TÂM</t>
  </si>
  <si>
    <t>049045003251</t>
  </si>
  <si>
    <t>123/57</t>
  </si>
  <si>
    <t>PHẠM THỊ HOA</t>
  </si>
  <si>
    <t>049167008633</t>
  </si>
  <si>
    <t>109/76</t>
  </si>
  <si>
    <t>NGUYỄN THỊ LỆ</t>
  </si>
  <si>
    <t>049172014309</t>
  </si>
  <si>
    <t>101/65</t>
  </si>
  <si>
    <t>TRẦN THỊ LY</t>
  </si>
  <si>
    <t>049140004118</t>
  </si>
  <si>
    <t>90/64</t>
  </si>
  <si>
    <t xml:space="preserve">NGUYỄN THỊ LÀI </t>
  </si>
  <si>
    <t>049184019822</t>
  </si>
  <si>
    <t>139/94</t>
  </si>
  <si>
    <t>ĐỖ THỊ LONG</t>
  </si>
  <si>
    <t>049160006172</t>
  </si>
  <si>
    <t>181/78</t>
  </si>
  <si>
    <t>049167007169</t>
  </si>
  <si>
    <t>190/90</t>
  </si>
  <si>
    <t>VÕ THỊ NƯƠNG</t>
  </si>
  <si>
    <t>049172017123</t>
  </si>
  <si>
    <t>115/73</t>
  </si>
  <si>
    <t>THCS</t>
  </si>
  <si>
    <t>NGUYỄN THỊ KIM HẰNG</t>
  </si>
  <si>
    <t>TÂN LỘC NGỌC</t>
  </si>
  <si>
    <t>066190005825</t>
  </si>
  <si>
    <t>90/60</t>
  </si>
  <si>
    <t>TRƯƠNG THỊ MINH HIỆP</t>
  </si>
  <si>
    <t>049188012538</t>
  </si>
  <si>
    <t>TRẦN THỊ CẨM THẠCH</t>
  </si>
  <si>
    <t>049165015714</t>
  </si>
  <si>
    <t>NGUYỄN TRUNG DŨNG</t>
  </si>
  <si>
    <t>CCB</t>
  </si>
  <si>
    <t>049057074439</t>
  </si>
  <si>
    <t>LỮ THỊ THÚY LOAN</t>
  </si>
  <si>
    <t>049159014936</t>
  </si>
  <si>
    <t>NGUYỄN THỊ THU NỮ</t>
  </si>
  <si>
    <t>049172004033</t>
  </si>
  <si>
    <t>99/63</t>
  </si>
  <si>
    <t>PHAN THỊ LIỄU</t>
  </si>
  <si>
    <t>049189007947</t>
  </si>
  <si>
    <t>049146003140</t>
  </si>
  <si>
    <t>HUỲNH HỶ</t>
  </si>
  <si>
    <t>049032003481</t>
  </si>
  <si>
    <t>126/62</t>
  </si>
  <si>
    <t>NGUYỄN THÀNH ĐÔ</t>
  </si>
  <si>
    <t>049048002414</t>
  </si>
  <si>
    <t>151/83</t>
  </si>
  <si>
    <t>VÕ THỊ LÊ</t>
  </si>
  <si>
    <t>148/77</t>
  </si>
  <si>
    <t>HUỲNH MAI</t>
  </si>
  <si>
    <t>049033001631</t>
  </si>
  <si>
    <t>NGUYỄN THỊ VƯƠNG</t>
  </si>
  <si>
    <t>049155004241</t>
  </si>
  <si>
    <t>TRẦN THỊ SỸ</t>
  </si>
  <si>
    <t>049126002297</t>
  </si>
  <si>
    <t>THCS/ KG</t>
  </si>
  <si>
    <t>TRẦN XUÂN Ý</t>
  </si>
  <si>
    <t>DIÊM ĐIỀN</t>
  </si>
  <si>
    <t>049069021430</t>
  </si>
  <si>
    <t>150/80</t>
  </si>
  <si>
    <t>TĂNG HA/STENT MẠCH VÀNH/THOÁI HOÁ CỘT SỐNG THẮT LƯNG/MỔ SỎI THẬN PHẢI/LÃO THỊ/THỦNG NHĨ TRÁI/VIÊM NƯỚU</t>
  </si>
  <si>
    <t>TRẦN THỊ LỆ</t>
  </si>
  <si>
    <t>049155004039</t>
  </si>
  <si>
    <t>LÃO THỊ/MẤT NHIỀU RĂNG</t>
  </si>
  <si>
    <t>TRẦN THỊ TÂM</t>
  </si>
  <si>
    <t>049162008125</t>
  </si>
  <si>
    <t>TĂNG HUYẾT ÁP/THOÁT HOÁ CỘT SỐNG THẮT LƯNG/MỘNG THỊT MẮT TRÁI/VÔI RĂNG/VIÊM NƯỚU</t>
  </si>
  <si>
    <t>TRẦN XUÂN LỘI</t>
  </si>
  <si>
    <t>31/05/1965</t>
  </si>
  <si>
    <t>049065012881</t>
  </si>
  <si>
    <t>HẸP BAO QUY ĐẦU BIẾN CHỨNG BÍ TIỂU ĐÃ PT/GÃY XƯƠNG CẲNG TAY P ĐÃ PT/TẮC MẠCH VÕNG MẠC MẮT TRÁI/VIÊM NƯỚU</t>
  </si>
  <si>
    <t>TRẦN XUÂN TRẬN</t>
  </si>
  <si>
    <t>20/06/1957</t>
  </si>
  <si>
    <t>049057003265</t>
  </si>
  <si>
    <t>TĂNG HUYẾT ÁP/TEO THẬN TRÁI/PT CẮT RUỘT THỪA/LÃO THỊ/MẤT NHIỀU RĂNG</t>
  </si>
  <si>
    <t>HUỲNH QUÂN</t>
  </si>
  <si>
    <t>049073011396</t>
  </si>
  <si>
    <t>MỘNG THỊT HAI MẮT/MẤT NHIỀU RĂNG</t>
  </si>
  <si>
    <t>HUỲNH THỊ THỂ</t>
  </si>
  <si>
    <t>049171010338</t>
  </si>
  <si>
    <t>VIÊM ĐẠI TRÀNG/THOÁI HOÁ CỘT SỐNG THẮT LƯNG/LÃO THỊ</t>
  </si>
  <si>
    <t>HUỲNH THỊ HIỀN</t>
  </si>
  <si>
    <t>049154017040</t>
  </si>
  <si>
    <t>TRÀO NGƯỢC DẠ DÀY - THỰC QUẢN/THOÁI HOÁ CSTL/LÃO THỊ/VIÊM TAI NGOÀI BÊN PHẢI/MẤT NHIỀU RĂNG</t>
  </si>
  <si>
    <t>31/07/1977</t>
  </si>
  <si>
    <t>LONG THÀNH</t>
  </si>
  <si>
    <t>049177007746</t>
  </si>
  <si>
    <t>VÔI RĂNG HAI HÀM/VIÊM NƯỚU</t>
  </si>
  <si>
    <t>HUỲNH THỊ NGỌC ANH</t>
  </si>
  <si>
    <t>049177002184</t>
  </si>
  <si>
    <t>TRẦN THỊ HÀ</t>
  </si>
  <si>
    <t>21/05/1975</t>
  </si>
  <si>
    <t>049175014169</t>
  </si>
  <si>
    <t>BÌNH THƯỜNG</t>
  </si>
  <si>
    <t>NGUYỄN THỊ THÀNH</t>
  </si>
  <si>
    <t>049175011572</t>
  </si>
  <si>
    <t>ĐAU LƯNG</t>
  </si>
  <si>
    <t>NGÔ THANH BẢN</t>
  </si>
  <si>
    <t>KHUYẾT TẬT</t>
  </si>
  <si>
    <t>049076012025</t>
  </si>
  <si>
    <t>TĂNG HUYẾT ÁP/LIỆT NỮA NGƯỜI/DI CHỨNG TAI BIẾN MẠCH MÁU NÃO/MẤT RĂNG, ĐA SÂU RĂNG</t>
  </si>
  <si>
    <t>NGUYỄN THỊ GÁI</t>
  </si>
  <si>
    <t>049174012953</t>
  </si>
  <si>
    <t>VIÊM DẠ DÀY/MẤT RĂNG</t>
  </si>
  <si>
    <t>PHAN THỊ THU ÁNH</t>
  </si>
  <si>
    <t>049170015650</t>
  </si>
  <si>
    <t>GAN NHIỄM MỠ/SÂU RĂNG, MẤT RĂNG</t>
  </si>
  <si>
    <t>28/12/1977</t>
  </si>
  <si>
    <t>049177012471</t>
  </si>
  <si>
    <t>THOÁI HOÁ CỘT SỐNG/RĂNG 37 SÂU NGÀ</t>
  </si>
  <si>
    <t>NGUYỄN THỊ LANH</t>
  </si>
  <si>
    <t>049158008854</t>
  </si>
  <si>
    <t>TĂNG HUYẾT ÁP/SUY GIÁP ĐÃ PT</t>
  </si>
  <si>
    <t>NGUYỄN THỊ LIỄU</t>
  </si>
  <si>
    <t>049172002744</t>
  </si>
  <si>
    <t>130/65</t>
  </si>
  <si>
    <t>TẬT KHÚC XẠ</t>
  </si>
  <si>
    <t>NGUYỄN THỊ NHUNG</t>
  </si>
  <si>
    <t>049160004447</t>
  </si>
  <si>
    <t>125/85</t>
  </si>
  <si>
    <t>VIÊM CẦU THẬN/THOÁI HOÁ KHỚP GỐI/TS MỔ TÁN SỎI THẬN/PT RUỘT THỪA VIÊM/TS PT TRIỆT SẢN/MỘNG THỊT HAI MẮT/CHÂN RĂNG 28, MẤT RĂNG 36, 46, MÒN CỔ RĂNG 35</t>
  </si>
  <si>
    <t>TRẦN CÔNG ĐỊNH</t>
  </si>
  <si>
    <t>049091020803</t>
  </si>
  <si>
    <t>110/80</t>
  </si>
  <si>
    <t>NGUYỄN THỊ ÂN</t>
  </si>
  <si>
    <t>13/03/1975</t>
  </si>
  <si>
    <t>049175002911</t>
  </si>
  <si>
    <t>NGUYỄN THỊ CÚC</t>
  </si>
  <si>
    <t>049174006140</t>
  </si>
  <si>
    <t>MẤT NHIỀU RĂNG CỐI LỚN</t>
  </si>
  <si>
    <t>PHAN THỊ NHẪN</t>
  </si>
  <si>
    <t>049165014561</t>
  </si>
  <si>
    <t>VIÊM DẠ DÀY/ĐAU CÁC KHỚP/MỔ CẮT BUỒNG TRỨNG HAI BÊN/CHÂN RĂNG 14, 2737, MẤT RĂNG 46, 47</t>
  </si>
  <si>
    <t>NGUYỄN THỊ CƯỜNG VI</t>
  </si>
  <si>
    <t>25/03/1983</t>
  </si>
  <si>
    <t>049183003907</t>
  </si>
  <si>
    <t>114/78</t>
  </si>
  <si>
    <t>RỐI LOẠN GIẤC NGỦ/MỔ RUỘT THỪA/ĐA SÂU RĂNG</t>
  </si>
  <si>
    <t>PHAN THỊ LẦN</t>
  </si>
  <si>
    <t>049170004098</t>
  </si>
  <si>
    <t>144/82</t>
  </si>
  <si>
    <t>TĂNG HUYẾT ÁP CHƯA ĐIỀU TRỊ/THOÁI HOÁ CSTL/HÀM GIẢ HAI HÀM LỎNG LẺO</t>
  </si>
  <si>
    <t>HUỲNH THỊ PHÚ</t>
  </si>
  <si>
    <t>049150003119</t>
  </si>
  <si>
    <t>MẤT RĂNG 17, 26, MÒN CỔ RĂNG 24, 25</t>
  </si>
  <si>
    <t>TRẦN THỊ ĐÀO</t>
  </si>
  <si>
    <t>049131003885</t>
  </si>
  <si>
    <t>TĂNG HUYẾT ÁP ĐANG ĐIỀU TRỊ/THOÁI HOÁ KHỚP GỐI HAI BÊN/NHÌN KÉM/ĐỤC THUỶ TINH THỂ MẮT TRÁI/NGHE KÉM TUỔI GIÀ/MẤT NHIỀU RĂNG</t>
  </si>
  <si>
    <t>TRẦN THỊ ĐẸP</t>
  </si>
  <si>
    <t>049170006743</t>
  </si>
  <si>
    <t>167/100</t>
  </si>
  <si>
    <t>TĂNG HUYẾT ÁP ĐANG ĐIỀU TRỊ/ĐAU LƯNG/TS MỔ CẮT RUỘT THỪA/CHÂN RĂNG 16, MẤT RĂNG 25-27, 36, 37, 45-47</t>
  </si>
  <si>
    <t>NGÔ THỊ THUÝ TRANG</t>
  </si>
  <si>
    <t>049189016361</t>
  </si>
  <si>
    <t>125/82</t>
  </si>
  <si>
    <t>NGUYỄN TIẾN MẠNH</t>
  </si>
  <si>
    <t>21/08/1994</t>
  </si>
  <si>
    <t>049094017095</t>
  </si>
  <si>
    <t>CHÂN RĂNG 36, VÔI RĂNG HAI HÀM NHIỀU/VIÊM NƯỚU</t>
  </si>
  <si>
    <t>TRẦN THỊ TÍNH</t>
  </si>
  <si>
    <t>049169009119</t>
  </si>
  <si>
    <t>LOÉT DẠ DÀY DO HP/ĐAU CÁC KHỚP/NHÌN KÉM/VIÊM XOANG MẠN/RĂNG 15 VIÊM QUANH CHÓP, MẤT RĂNG 36, 47</t>
  </si>
  <si>
    <t>13/11/1956</t>
  </si>
  <si>
    <t>049156002857</t>
  </si>
  <si>
    <t>VIÊM DẠ DÀY/MỘNG THỊT HAI MẮT/MẤT NHIỀU RĂNG/VÔI RĂNG NHIỀU/VIÊM NHA CHU</t>
  </si>
  <si>
    <t>NGUYỄN THANH CẦN</t>
  </si>
  <si>
    <t>049082022597</t>
  </si>
  <si>
    <t>111/77</t>
  </si>
  <si>
    <t>TS GÃY XƯƠNG ĐÒN TRÁI/MỘNG THỊT MẮT TRÁI/VÔI RĂNG MẢNG BÁM RĂNG HAI HÀM/MÒN CỔ NHIỀU RĂNG/VIÊM NƯỚU</t>
  </si>
  <si>
    <t>VÕ THỊ HUYNH</t>
  </si>
  <si>
    <t>049144004329</t>
  </si>
  <si>
    <t>TĂNG HUYẾT ÁP/VIÊM DẠ DÀY/THOÁI HOÁ CSTL/MỘNG THỊT HAI MẮT/ĐỤC THUỶ TINH THỂ/GIẢM THÍNH LỰC TUỔI GIÀ/MẤT NHIỀU RĂNG</t>
  </si>
  <si>
    <t>NGUYỄN CẢNH</t>
  </si>
  <si>
    <t>049087017661</t>
  </si>
  <si>
    <t>NGUYỄN BÁ SIM</t>
  </si>
  <si>
    <t>049077013031</t>
  </si>
  <si>
    <t>150/100</t>
  </si>
  <si>
    <t>LIỆT CƠ GẤP MU CHÂN TRÁI/TẬT KHÚC XẠ</t>
  </si>
  <si>
    <t>LÂM QUÂN</t>
  </si>
  <si>
    <t>049070014741</t>
  </si>
  <si>
    <t>TẬT KHÚC XẠ/VÔI RĂNG HAI HÀM/VIÊM NƯỚU</t>
  </si>
  <si>
    <t>TRẦN THỊ THANH THUÝ</t>
  </si>
  <si>
    <t>16/09/1986</t>
  </si>
  <si>
    <t>049186011275</t>
  </si>
  <si>
    <t>TẬT KHÚC XẠ/SÂU RĂNG 46</t>
  </si>
  <si>
    <t>NGUYỄN THỊ NHƯ MẪN</t>
  </si>
  <si>
    <t>14/03/1976</t>
  </si>
  <si>
    <t>105/70</t>
  </si>
  <si>
    <t>HỞ VAN HAI LÁ NHẸ/TẬT KHÚC XẠ</t>
  </si>
  <si>
    <t>TRẦN VĂN SIÊU</t>
  </si>
  <si>
    <t>20/08/1962</t>
  </si>
  <si>
    <t>049062014569</t>
  </si>
  <si>
    <t>172/98</t>
  </si>
  <si>
    <t>TĂNG HUYẾT ÁP/ĐỤC THUỶ TINH THỂ ĐÃ PT/MẤT RĂNG</t>
  </si>
  <si>
    <t>TRẦN CÔNG LUẬT</t>
  </si>
  <si>
    <t>23/08/1993</t>
  </si>
  <si>
    <t>049093012889</t>
  </si>
  <si>
    <t>NGUYỄN VĂN CHUNG</t>
  </si>
  <si>
    <t>049076016462</t>
  </si>
  <si>
    <t>VIÊM DẠ DÀY/ĐAU LƯNG/TẬT KHÚC XẠ/SÂU RĂNG</t>
  </si>
  <si>
    <t>NGUYỄN THỊ GIẢI</t>
  </si>
  <si>
    <t>26/08/1967</t>
  </si>
  <si>
    <t>049167008158</t>
  </si>
  <si>
    <t>115/95</t>
  </si>
  <si>
    <t>HỞ VAN TIM/MỠ MÁU/GAN NHIỄM MỠ/ĐÁI THÁO ĐƯỜNG TUÝP 2/TẬT KHÚC XẠ</t>
  </si>
  <si>
    <t>NGUYỄN THỊ NHÂN</t>
  </si>
  <si>
    <t>049141004477</t>
  </si>
  <si>
    <t>TĂNG HUYẾT ÁP/SUY TIM/THOÁI HOÁ CỘT SỐNG/GIẢM THÍNH LỰC TUỔI GIÀ/MẤT NHIỀU RĂNG</t>
  </si>
  <si>
    <t>049301012212</t>
  </si>
  <si>
    <t>THAI 15 TUẦN</t>
  </si>
  <si>
    <t>HỒ THỊ DIỄM MY</t>
  </si>
  <si>
    <t>20/10/2003</t>
  </si>
  <si>
    <t>049303003874</t>
  </si>
  <si>
    <t>125/80</t>
  </si>
  <si>
    <t>HỒ THỊ BÍCH DIỄM</t>
  </si>
  <si>
    <t>049301012040</t>
  </si>
  <si>
    <t>NGUYỄN NHẬT TÂN</t>
  </si>
  <si>
    <t>049050003635</t>
  </si>
  <si>
    <t>TIỀN SỬ TĂNG HUYẾT ÁP ĐANG ĐIỀU TRỊ/ĐỤC THUỶ TINH THỂ/VIÊM NHA CHU</t>
  </si>
  <si>
    <t>NGUYỄN VŨ TÂM</t>
  </si>
  <si>
    <t>049070017900</t>
  </si>
  <si>
    <t>HỞ VAN TIM/SUY TIM/COPD/VIÊM DẠ DÀY/THOÁI HOÁ CỘT SỐNG/TẬT KHÚC XẠ/ĐA SÂU RĂNG</t>
  </si>
  <si>
    <t>BÙI THỊ VƯƠNG</t>
  </si>
  <si>
    <t>15/01/2001</t>
  </si>
  <si>
    <t>049301011592</t>
  </si>
  <si>
    <t>PHẠM THỊ PHIỆT</t>
  </si>
  <si>
    <t>19/04/1975</t>
  </si>
  <si>
    <t>049175004432</t>
  </si>
  <si>
    <t>THOÁI HOÁ CỘT SỐNG CỔ/VIÊM KHỚP VAI/GÃY CŨ XƯƠNG CẲNG TAY/MỘNG THỊT HAI MẮT</t>
  </si>
  <si>
    <t>HUỲNH THỊ KIỀU MY</t>
  </si>
  <si>
    <t>30/08/1995</t>
  </si>
  <si>
    <t>051195016346</t>
  </si>
  <si>
    <t>TRẦN THỊ LIN</t>
  </si>
  <si>
    <t>049191021323</t>
  </si>
  <si>
    <t>TRƯƠNG QUANG DIỆU</t>
  </si>
  <si>
    <t>049201010071</t>
  </si>
  <si>
    <t>MẤT RĂNG</t>
  </si>
  <si>
    <t>NGUYỄN THỊ QUYÊN</t>
  </si>
  <si>
    <t>13/07/1993</t>
  </si>
  <si>
    <t>049193013173</t>
  </si>
  <si>
    <t>114/88</t>
  </si>
  <si>
    <t>LÊ THỊ KIM TƯƠI</t>
  </si>
  <si>
    <t>20/03/1972</t>
  </si>
  <si>
    <t>049172017117</t>
  </si>
  <si>
    <t>128/87</t>
  </si>
  <si>
    <t>ĐẶNG PHƯƠNG THẢO</t>
  </si>
  <si>
    <t>049195016668</t>
  </si>
  <si>
    <t>TẬT KHÚC XẠ/SÂU RĂNG</t>
  </si>
  <si>
    <t>NGUYỄN THỊ THU HƯỜNG</t>
  </si>
  <si>
    <t>16/01/1979</t>
  </si>
  <si>
    <t>049179015784</t>
  </si>
  <si>
    <t>135/85</t>
  </si>
  <si>
    <t>THEO DÕI TĂNG HUYẾT ÁP/VIÊM DẠ DÀY/TẬT KHÚC XẠ/CAO RĂNG/VIÊM NƯỚU</t>
  </si>
  <si>
    <t>NGUYỄN THỊ LƯU</t>
  </si>
  <si>
    <t>049144005041</t>
  </si>
  <si>
    <t>TĂNG HUYẾT ÁP/THOÁI HOÁ CỘT SỐNG/ĐỤC THUỶ TINH THỂ/MẤT RĂNG</t>
  </si>
  <si>
    <t>NGUYỄN THỊ THUÝ ĐUA</t>
  </si>
  <si>
    <t>16/04/1978</t>
  </si>
  <si>
    <t>049178011023</t>
  </si>
  <si>
    <t>TRẦN THỊ BỬU</t>
  </si>
  <si>
    <t>049136002908</t>
  </si>
  <si>
    <t>TĂNG HUYẾT ÁP/ĐÁI THÁO ĐƯỜNG/THOÁI HOÁ CỘT SỐNG/HAI MẮT ĐỤC THUỶ TINH THỂ/MẤT RĂNG</t>
  </si>
  <si>
    <t>NGUYỄN THUỶ NGƯ</t>
  </si>
  <si>
    <t>049045002219</t>
  </si>
  <si>
    <t>TĂNG HUYẾT ÁP/VIÊM LOÉT DẠ DÀY/ĐAU LƯNG/HAI MẮT ĐỤC THUỶ TINH THỂ ĐÃ PT/</t>
  </si>
  <si>
    <t>NGUYỄN THỊ HẠT</t>
  </si>
  <si>
    <t>049140007115</t>
  </si>
  <si>
    <t>TĂNG HUYẾT ÁP/VIÊM DẠ DÀY/THOÁI HOÁ + BIẾN DẠNG CỘT SỐNG/ĐỤC THUỶ TINH THỂ/MẤT RĂNG</t>
  </si>
  <si>
    <t>NGÔ VĂN THANH</t>
  </si>
  <si>
    <t>049062008511</t>
  </si>
  <si>
    <t>TĂNG HUYẾT ÁP/COPD</t>
  </si>
  <si>
    <t>TRẦN THỊ THU SƯƠNG</t>
  </si>
  <si>
    <t>049183011840</t>
  </si>
  <si>
    <t>130/90</t>
  </si>
  <si>
    <t>TIỀN SỬ UNG THƯ CỔ TỬ CUNG ĐANG ĐIỀU TRỊ</t>
  </si>
  <si>
    <t>NGUYỄN THẠCH SƠN</t>
  </si>
  <si>
    <t>049069018886</t>
  </si>
  <si>
    <t>ĐÁI THÁO ĐƯỜNG TUÝP 2/CẮT CỤT CHÂN TRÁI DO TAI NẠN/GLOCOM</t>
  </si>
  <si>
    <t>NGUYỄN NGỌC BÌNH</t>
  </si>
  <si>
    <t>049035004714</t>
  </si>
  <si>
    <t>SUY TIM TUỔI GIÀ/VIÊM KHỚP/VIÊM DA CƠ ĐỊA/MẮT PHẢI ĐỤC THUỶ TINH THỂ, MẮT TRÁI IOC/MẤT RĂNG HAI HÀM</t>
  </si>
  <si>
    <t>NGUYỄN VĂN CƯNG</t>
  </si>
  <si>
    <t>049070018196</t>
  </si>
  <si>
    <t>BÙI THỊ LƯU</t>
  </si>
  <si>
    <t>049154005937</t>
  </si>
  <si>
    <t>HEN SUYỄN/TRÀO NGƯỢC DA DÀY - THỰC QUẢN/THOÁI HOÁ CỘT SỐNG THẮT LƯNG/RỐI LOẠN GIẤC NGỦ/LÃO THỊ/MẤT NHIỀU RĂNG</t>
  </si>
  <si>
    <t>LÊ THỊ THU THUỶ</t>
  </si>
  <si>
    <t>049174012062</t>
  </si>
  <si>
    <t>129/89</t>
  </si>
  <si>
    <t>TĂNG HUYẾT ÁP ĐANG ĐIỀU TRỊ/MẮT PHẢI ĐỤC THUỶ TINH THỂ ĐÃ PT</t>
  </si>
  <si>
    <t>NGÔ THỊ DIỂM CHI</t>
  </si>
  <si>
    <t>24/07/1972</t>
  </si>
  <si>
    <t>049172012851</t>
  </si>
  <si>
    <t>THEO DÕI TĂNG HUYẾT ÁP/TẬT KHÚC XẠ</t>
  </si>
  <si>
    <t>BÙI THỊ LỆ THUỶ</t>
  </si>
  <si>
    <t>19/03/1977</t>
  </si>
  <si>
    <t>049177015415</t>
  </si>
  <si>
    <t>TRẦN MINH SƠN</t>
  </si>
  <si>
    <t>13/01/1982</t>
  </si>
  <si>
    <t>049082017697</t>
  </si>
  <si>
    <t>NGUYỄN THỊ SĨ</t>
  </si>
  <si>
    <t>049158009699</t>
  </si>
  <si>
    <t>131/75</t>
  </si>
  <si>
    <t>ĐÁI THÁO ĐƯỜNG TUÝP 2/ĐỤC THUỶ TINH THỂ</t>
  </si>
  <si>
    <t>NGÔ THANH KÍNH</t>
  </si>
  <si>
    <t>20/03/1957</t>
  </si>
  <si>
    <t>049057004406</t>
  </si>
  <si>
    <t>TĂNG HUYẾT ÁP/THOÁI HOÁ KHỚP GỐI/ĐỤC THUỶ TINH THỂ</t>
  </si>
  <si>
    <t>TRƯƠNG NGỌC ĐẰNG</t>
  </si>
  <si>
    <t>049049004191</t>
  </si>
  <si>
    <t>MẮT PHẢI ĐỤC THUỶ TINH THỂ ĐÃ PHẪU THUẬT/MẮT TRÁI ĐỤC THUỶ TINH THỂ</t>
  </si>
  <si>
    <t>TRẦN QUANG VINH</t>
  </si>
  <si>
    <t>049042002395</t>
  </si>
  <si>
    <t>DÃN TĨNH MẠCH CHI DƯỚI TRÁI/MẮT TRÁI MỘNG THỊT/ĐỤC THUỶ TINH THỂ/VIÊM NƯỚU</t>
  </si>
  <si>
    <t>NGUYỄN THỊ NGHIÊU</t>
  </si>
  <si>
    <t>049145002317</t>
  </si>
  <si>
    <t>TĂNG HUYẾT ÁP/THOÁI HOÁ CỘT SỐNG THẮT LƯNG/SỎI THẬN HAI BÊN ĐÃ TÁN SỎI/LÃO THỊ/MẤT NHIỀU RĂNG</t>
  </si>
  <si>
    <t>NGUYỄN THỊ LẮM</t>
  </si>
  <si>
    <t>049156005313</t>
  </si>
  <si>
    <t>THOÁI HOÁ CỘT SỐNG/RỒI LOẠN TIỀN ĐÌNH/RỐI LOẠN GIẤC NGỦ/LÃO THỊ/VIÊM NƯỚU</t>
  </si>
  <si>
    <t>PHẠM THỊ SƯA</t>
  </si>
  <si>
    <t>049165011416</t>
  </si>
  <si>
    <t>145/80</t>
  </si>
  <si>
    <t>TĂNG HUYẾT ÁP/VIÊM NƯỚU</t>
  </si>
  <si>
    <t>HUỲNH THỊ BÀNG</t>
  </si>
  <si>
    <t>13/10/1978</t>
  </si>
  <si>
    <t>049178013553</t>
  </si>
  <si>
    <t>VIÊM DẠ DÀY - RUỘT/THOÁI HOÁ CỘT SỐNG CỔ/LÃO THỊ</t>
  </si>
  <si>
    <t>VÕ THỊ CÚC</t>
  </si>
  <si>
    <t>049172005703</t>
  </si>
  <si>
    <t>95/65</t>
  </si>
  <si>
    <t>VIÊM LOÉT HANG VỊ DO HP/SÁN LÁ GAN/RỐI LOẠN TIỀN ĐÌNH/VIÊM XOANG CẤP/CHÂN RĂNG/VÔI RĂNG HAI HÀM/VIÊM NƯỚU</t>
  </si>
  <si>
    <t>VÕ THỊ NGỌC</t>
  </si>
  <si>
    <t>16/02/1972</t>
  </si>
  <si>
    <t>049172011860</t>
  </si>
  <si>
    <t>VIÊM HỌNG CẤP</t>
  </si>
  <si>
    <t>HỒ THỊ PHỐI</t>
  </si>
  <si>
    <t>27/03/1978</t>
  </si>
  <si>
    <t>049178015546</t>
  </si>
  <si>
    <t>VẸO VÁCH NGĂN MŨI/VÔI RĂNG HAI HÀM/VIÊM NƯỚU</t>
  </si>
  <si>
    <t>NGUYỄN THỊ LAN</t>
  </si>
  <si>
    <t>049137005279</t>
  </si>
  <si>
    <t>TĂNG HUYẾT ÁP/TRÀO NGƯỢC DẠ DÀY - THỰC QUẢN/THOÁI HOÁ CỘT SỐNG THẮT LƯNG/GÃY XƯƠNG CẲNG TAY HAI BÊN/ĐỤC THUỶ TINH THỂ HAI MẮT ĐÃ PT/GIẢM THÍNH  LỰC TUỔI GIÀ</t>
  </si>
  <si>
    <t>VÕ THỊ HOÀ</t>
  </si>
  <si>
    <t>14/02/1938</t>
  </si>
  <si>
    <t>049138005488</t>
  </si>
  <si>
    <t>TĂNG HUYẾT ÁP/THOÁI HOÁ KHỚP GỐI/RỐI LOẠN GIẤC NGỦ/LÃO THỊ/MẤT NHIỀU RĂNG</t>
  </si>
  <si>
    <t>LÊ THÂN KHANH</t>
  </si>
  <si>
    <t>049043003653</t>
  </si>
  <si>
    <t>TĂNG HUYẾT ÁP/ĐỤC THUỶ TINH THỂ/MẤT NHIỀU RĂNG HAI HÀM</t>
  </si>
  <si>
    <t>TRẦN THỊ THANH</t>
  </si>
  <si>
    <t>TRÀO NGƯỢC DẠ DÀY - THỰC QUẢN/TIỂU LẮT NHẮT/PT NỐI GÂN NGÓN ÁP ÚT BÀN TAY TRÁI/LÃO THỊ/MẤT NHIỀU RĂNG</t>
  </si>
  <si>
    <t>LÊ HƯỜNG</t>
  </si>
  <si>
    <t>14/03/1942</t>
  </si>
  <si>
    <t>049042002958</t>
  </si>
  <si>
    <t>TRÀO NGƯỢC DẠ DÀY- THỰC QUẢN/BƯỚU GIÁP ĐÃ PT/MẮT TRÁI MỘNG THỊT/GIẢM THÍNH LỰC TUỔI GIÀ/MẤT RĂNG HAI HÀM</t>
  </si>
  <si>
    <t>MAI THỊ NƯƠNG</t>
  </si>
  <si>
    <t>049145005457</t>
  </si>
  <si>
    <t>STENT MẠCH VÀNH/TĂNG HUYẾT ÁP/MỠ MÁU/BỆNH SUY TIM/THOÁI HOÁ CỘT SỐNG THẮT LƯNG L4L5 - L5S1/MẮT TRÁI MỘNG THỊT</t>
  </si>
  <si>
    <t>TRẦN THỊ TRÁNG</t>
  </si>
  <si>
    <t>049175006724</t>
  </si>
  <si>
    <t>RỐI LOẠN GIẤC NGỦ/RUỘT THỪA VIÊM ĐÃ PT</t>
  </si>
  <si>
    <t>049177004413</t>
  </si>
  <si>
    <t>TĂNG HUYẾT ÁP ĐANG ĐIỀU TRỊ/VIÊM DẠ DÀY/PT CẮT TOÀN BỘ TUYẾN GIÁP DO K GIÁP/U XƠ TỬ CUNG/VIÊM HỌNG MẠN/MẤT RĂNG</t>
  </si>
  <si>
    <t>PHAN NHƯ CẨN</t>
  </si>
  <si>
    <t>049043004896</t>
  </si>
  <si>
    <t>THOÁI HOÁ CỘT SỐNG CỔ/ĐỤC THUỶ TINH THỂ HAI MẮT/VIÊM TAI NGOÀI BÊN PHẢI/RĂNG GIẢ HAI HÀM</t>
  </si>
  <si>
    <t>PHẠM THỊ HƯỜNG</t>
  </si>
  <si>
    <t>25/06/1945</t>
  </si>
  <si>
    <t>049146005248</t>
  </si>
  <si>
    <t>RUỘT THỪA VIÊM ĐÃ PT/ĐỤC THUỶ TINH THỂ/MẤT NHIỀU RĂNG</t>
  </si>
  <si>
    <t>HUỲNH VĂN LỘC</t>
  </si>
  <si>
    <t>15/08/1973</t>
  </si>
  <si>
    <t>049073007370</t>
  </si>
  <si>
    <t>VÕ THỊ MINH THUÝ</t>
  </si>
  <si>
    <t>049177013495</t>
  </si>
  <si>
    <t>ĐAU KHỚP GỐI HAI BÊN/RỐI LOẠN GIẤC NGỦ/LÃO THỊ/VIÊM NƯỚU</t>
  </si>
  <si>
    <t>14/05/1953</t>
  </si>
  <si>
    <t>049053007954</t>
  </si>
  <si>
    <t>ĐAU KHỚP GỐI BÊN HAI BÊN/VIÊM NƯỚU</t>
  </si>
  <si>
    <t>ĐẶNG VIẾT CÔNG</t>
  </si>
  <si>
    <t>049067014673</t>
  </si>
  <si>
    <t>COPD/THOÁI HOÁ CỘT SỐNG CỔ/MẤT NHIỀU RĂNG</t>
  </si>
  <si>
    <t>TRẦN XUÂN TỬU</t>
  </si>
  <si>
    <t>049068008113</t>
  </si>
  <si>
    <t>ĐỤC THUỶ TINH THỂ ĐÃ PHẪU THUẬT/VIÊM NƯỚU</t>
  </si>
  <si>
    <t>HUỲNH MINH HOÀ</t>
  </si>
  <si>
    <t>049045005564</t>
  </si>
  <si>
    <t>VIÊM NƯỚU</t>
  </si>
  <si>
    <t>NGUYỄN THỊ MẬU</t>
  </si>
  <si>
    <t>16/08/1969</t>
  </si>
  <si>
    <t>049169012362</t>
  </si>
  <si>
    <t>145/85</t>
  </si>
  <si>
    <t>THOÁI HOÁ CỘT SỐNG THẮT LƯNG/GÃY CỔ CHÂN PHẢI ĐÃ PT/VIÊM NƯỚU</t>
  </si>
  <si>
    <t>LÊ THỊ DIN</t>
  </si>
  <si>
    <t>049165005651</t>
  </si>
  <si>
    <t>THOÁI HOÁ CỘT SỐNG THẮT LƯNG/MẤT NHIỀU RĂNG HÀM TRÊN</t>
  </si>
  <si>
    <t>HUỲNH ẨM</t>
  </si>
  <si>
    <t>049041002597</t>
  </si>
  <si>
    <t>TĂNG HUYẾT ÁP/VIÊM PHẾ QUẢN/ĐỤC THUỶ TINH THỂ ĐÃ PT/GIẢM THÍNH LỰC TUỔI GIÀ/MẤT RĂNG HAI HÀM</t>
  </si>
  <si>
    <t>NGÔ XUÂN TIẾN</t>
  </si>
  <si>
    <t>16/02/2004</t>
  </si>
  <si>
    <t>049204006425</t>
  </si>
  <si>
    <t>TEO CƠ/LIỆT NẰM TẠI CHỖ/MẤT NHIỀU RĂNG</t>
  </si>
  <si>
    <t>LÊ THỊ HẠNH</t>
  </si>
  <si>
    <t>049174005438</t>
  </si>
  <si>
    <t>THOÁI HOÁ CỘT SỐNG/MỘNG THỊT HAI MẮT</t>
  </si>
  <si>
    <t>HUỲNH VĂN KIM</t>
  </si>
  <si>
    <t>049037003531</t>
  </si>
  <si>
    <t>TĂNG HUYẾT ÁP ĐANG ĐIỀU TRỊ/THOÁI HOÁ CỘT SỐNG THẮT LƯNG/ĐỤC THUỶ TINH THỂ/MỘNG THỊT/ĐA SÂU RĂNG/MẤT NHIỀU RĂNG/VÔI RĂNG/VIÊM NHA CHU</t>
  </si>
  <si>
    <t>NGUYỄN VĂN HƯỢC</t>
  </si>
  <si>
    <t>15/10/1968</t>
  </si>
  <si>
    <t>049068017647</t>
  </si>
  <si>
    <t>TĂNG HUYẾT ÁP KHÔNG ĐIỀU TRỊ/ĐAI KHỚP VAI TRÁI/MỘNG THỊT/MẤT RĂNG/CHÂN RĂNG/VÔI RĂNG HAI HÀM/VIÊM NƯỚU</t>
  </si>
  <si>
    <t>HUỲNH THỊ TRỊNH</t>
  </si>
  <si>
    <t>049172008850</t>
  </si>
  <si>
    <t>ĐAU NHỨC CÁC KHỚP/SÂU RĂNG, MẤT RĂNG</t>
  </si>
  <si>
    <t>NGUYỄN THANH ĐẠM</t>
  </si>
  <si>
    <t>049072016393</t>
  </si>
  <si>
    <t>120/90</t>
  </si>
  <si>
    <t>VIÊM DẠ DÀY/TS GÃY NHIỀU XƯƠNG SAU TAI NẠN/CHÂN RĂNG/MẤT RĂNG/VIÊM NHA CHU/VÔI RĂNG</t>
  </si>
  <si>
    <t>HỒ THỊ LỆ</t>
  </si>
  <si>
    <t>049168005791</t>
  </si>
  <si>
    <t>VIÊM HANG VỊ/RỐI LOẠN TIỀN ĐÌNH/TS MỔ NỐI GÂN NGÓN IV TAY PHẢI/RĂNG 15 VIÊM QUANH CHÓP/MÒN CỔ RĂNG/VÔI RĂNG</t>
  </si>
  <si>
    <t>TRẦN XƯNG</t>
  </si>
  <si>
    <t>22/08/1928</t>
  </si>
  <si>
    <t>049028001785</t>
  </si>
  <si>
    <t>190/110</t>
  </si>
  <si>
    <t>TĂNG HUYẾT ÁP/LÃO THỊ/GIẢM THÍNH LỰC TUỔI GIÀ/MẤT NHIỀU RĂNG</t>
  </si>
  <si>
    <t>049171004059</t>
  </si>
  <si>
    <t>165/100</t>
  </si>
  <si>
    <t>TĂNG HUYẾT ÁP/VIÊM DA/MẤT NHIỀU RĂNG</t>
  </si>
  <si>
    <t>PHẠM THỊ CHƯỞNG</t>
  </si>
  <si>
    <t>049138006256</t>
  </si>
  <si>
    <t>TĂNG HUYẾT ÁP/BỆNH TIM THIẾU MÁU CỤC BỘ/THOÁI HOÁ CỘT SỐNG THẮT LƯNG/LÃO THỊ/MẤT NHIỀU RĂNG</t>
  </si>
  <si>
    <t>049153003506</t>
  </si>
  <si>
    <t>TĂNG HUYẾT ÁP/MỘNG THỊT/MẤT NHIỀU RĂNG</t>
  </si>
  <si>
    <t>BÙI THỊ NGA</t>
  </si>
  <si>
    <t>17/08/1937</t>
  </si>
  <si>
    <t>049137008444</t>
  </si>
  <si>
    <t>THOÁI HOÁ CỘT SỐNG THẮT LƯNG/ĐỤC THUỶ TINH THỂ/MẤT NHIỀU RĂNG</t>
  </si>
  <si>
    <t>049150005912</t>
  </si>
  <si>
    <t>TĂNG HUYẾT ÁP/PT CẮT RUỘT THỪA/DÃN TĨNH MẠCH CHI DƯỚI ĐÃ PT/LÃO THỊ/VIÊM NƯỚU</t>
  </si>
  <si>
    <t>TRẦN THỊ LĂNG</t>
  </si>
  <si>
    <t>049176012295</t>
  </si>
  <si>
    <t>SINH MỔ HAI LẦN/MỘNG THỊT</t>
  </si>
  <si>
    <t>PHẠM THỊ PHƯỢNG</t>
  </si>
  <si>
    <t>049149002191</t>
  </si>
  <si>
    <t>TĂNG HUYẾT ÁP/ĐAU KHỚP GỐI HAI BÊN/MỘNG THỊT MẮT PHẢI/MẤT NHIỀU RĂNG</t>
  </si>
  <si>
    <t>NGUYỄN THỊ PHỤNG</t>
  </si>
  <si>
    <t>13/02/1947</t>
  </si>
  <si>
    <t>049147006572</t>
  </si>
  <si>
    <t>TĂNG HUYẾT ÁP/CHẤN THƯƠNG CỘT SỐNG THẮT LƯNG ĐÃ PT/U MẮT TRÁI/MẤT NHIỀU RĂNG HÀM TRÊN</t>
  </si>
  <si>
    <t>TRẦN VĂN TÍN</t>
  </si>
  <si>
    <t>049061005378</t>
  </si>
  <si>
    <t>THOÁI HOÁ CỘT SỐNG THẮT LƯNG/RỐI LOẠN GIẤC NGỦ/ĐỤC THUỶ TINH THỂ ĐÃ PT/U TINH HOÀN ĐÃ PT</t>
  </si>
  <si>
    <t>PHẠM THỊ THU</t>
  </si>
  <si>
    <t>049175009876</t>
  </si>
  <si>
    <t>NGUYỄN THỊ MƠ</t>
  </si>
  <si>
    <t>17/03/1974</t>
  </si>
  <si>
    <t>049174011554</t>
  </si>
  <si>
    <t>ĐAU CÁC KHỚP/</t>
  </si>
  <si>
    <t>TRẦN THỊ LÝ</t>
  </si>
  <si>
    <t>049172013852</t>
  </si>
  <si>
    <t>ĐAU LƯNG/VÔI RĂNG/VIÊM NƯỚU</t>
  </si>
  <si>
    <t>NGUYỄN THỊ THANH CÚC</t>
  </si>
  <si>
    <t>049172012680</t>
  </si>
  <si>
    <t>125/75</t>
  </si>
  <si>
    <t>PHAN THỊ NHUẬN</t>
  </si>
  <si>
    <t>049171011570</t>
  </si>
  <si>
    <t>LÊ THỊ BÍCH HA</t>
  </si>
  <si>
    <t>21/05/1971</t>
  </si>
  <si>
    <t>049171012678</t>
  </si>
  <si>
    <t>ĐAU CÁC KHỚP/VÔI RĂNG HAI HÀM/VIÊM NƯỚU</t>
  </si>
  <si>
    <t>LÊ THỊ NHIÊU</t>
  </si>
  <si>
    <t>16/03/1971</t>
  </si>
  <si>
    <t>049171010619</t>
  </si>
  <si>
    <t>NGUYỄN THỊ THỜI</t>
  </si>
  <si>
    <t>29/11/1971</t>
  </si>
  <si>
    <t>049171003811</t>
  </si>
  <si>
    <t>TRẦN THỊ XÍ</t>
  </si>
  <si>
    <t>049170017665</t>
  </si>
  <si>
    <t>ĐAU CÁC KHỚP</t>
  </si>
  <si>
    <t>049166015322</t>
  </si>
  <si>
    <t>TĂNG HUYẾT ÁP/VIÊM DẠ DÀY - RUỘT/NANG THẬN PHẢI/CHẤN THƯƠNG CỘT SỐNG THẮT LƯNG ĐÃ PHẪU THUẬT/VIÊM VÕNG MẠC MẮT PHẢI</t>
  </si>
  <si>
    <t>28/9/2029</t>
  </si>
  <si>
    <t>BÙI THỊ LY NA</t>
  </si>
  <si>
    <t>049302007079</t>
  </si>
  <si>
    <t>110/97</t>
  </si>
  <si>
    <t>BÙI THỊ YẾN NHI</t>
  </si>
  <si>
    <t>049303002146</t>
  </si>
  <si>
    <t>106/83</t>
  </si>
  <si>
    <t>HAI MẮT TẬT KHÚC XẠ</t>
  </si>
  <si>
    <t>NGUYỄN TẤN TRÃNG</t>
  </si>
  <si>
    <t>VĨNH AN</t>
  </si>
  <si>
    <t>049037003470</t>
  </si>
  <si>
    <t>VIÊM PHẾ QUẢN MẠN/VIÊM ĐẠI TRÀNG MẠN</t>
  </si>
  <si>
    <t>TIỀN SỬ TĂNG HUYẾT ÁP ĐANG ĐIỀU TRỊ/THEO DÕI COPD/MỔ CẮT TÚI MẬT/VIÊM BỜ MI/NGHE KÉM TUỔI GIÀ/MẤT NHIỀU RĂNG</t>
  </si>
  <si>
    <t>NGUYỄN THỊ CƯỜNG</t>
  </si>
  <si>
    <t>049149002202</t>
  </si>
  <si>
    <t>150/60</t>
  </si>
  <si>
    <t>TIỀN SỬ TĂNG HUYẾT ÁP ĐANG ĐIỀU TRỊ/TIỀN SỬ ĐÁI THÁO ĐƯỜNG TUÝP 2 ĐANG ĐIỀU TRỊ/HAY ĐAU CÁC KHỚP/VIÊM BỜ MI/MẤT NHIỀU RĂNG</t>
  </si>
  <si>
    <t>NGUYỄN TẤN HỢI</t>
  </si>
  <si>
    <t>BÀ BẦU</t>
  </si>
  <si>
    <t>049069019667</t>
  </si>
  <si>
    <t>TIỀN SỬ ĐÁI THÁO ĐƯỜNG TUÝP 2 BỎ ĐIỀU TRỊ/GÃY NGÓN I TAY PHẢI/TẬT KHÚC XẠ/MẤT RĂNG 46</t>
  </si>
  <si>
    <t>NGUYỄN THỊ DỄ</t>
  </si>
  <si>
    <t>049170014313</t>
  </si>
  <si>
    <t>140/100</t>
  </si>
  <si>
    <t>TĂNG HUYẾT ÁP/TIỀN SỬ BƯỚU GIÁP KHÔNG RÕ/TIỀN SỬ HAY ĐAU CÁC KHỚP/TẬT KHÚC XẠ/VIÊM NHA CHU, MÒN CỔ RĂNG 44, 45/CAO RĂNG TOÀN HÀM</t>
  </si>
  <si>
    <t>NGUYỄN THỊ THANH HỒNG</t>
  </si>
  <si>
    <t>049158005512</t>
  </si>
  <si>
    <t>GÃY CỔ TAY TRÁI/MỘNG THỊT MẮT PHẢI/MẤT RĂNG 16, 25, 26/CAO RĂNG TOÀN HÀM</t>
  </si>
  <si>
    <t>BÙI THỊ BẢNG</t>
  </si>
  <si>
    <t>049166003631</t>
  </si>
  <si>
    <t>MỘNG THỊT HAI MẮT/MẤT RĂNG 35, 44, 46</t>
  </si>
  <si>
    <t>MAI THỊ NGỌC NGUYỆT</t>
  </si>
  <si>
    <t>049164005603</t>
  </si>
  <si>
    <t>TIỀN SỬ TĂNG HUYẾT ÁP ĐANG ĐIỀU TRỊ/ĐAU CỘT SỐNG THẮT LƯNG + GỐI PHẢI HẠN CHẾ VẬN ĐỘNG/MỔ LẤY THAI 1 LẦN/RĂNG GIẢ HÀM DƯỚI</t>
  </si>
  <si>
    <t>MAI THỊ NGỌC THANH</t>
  </si>
  <si>
    <t>049155009525</t>
  </si>
  <si>
    <t>167/96</t>
  </si>
  <si>
    <t>TĂNG HUYẾT ÁP/GÃY XƯƠNG CÁNH TAY PHẢI/ĐỤC THUỶ TINH THỂ/MẤT NHIỀU RĂNG</t>
  </si>
  <si>
    <t>NGUYỄN KIM CHÓNG</t>
  </si>
  <si>
    <t>049054006249</t>
  </si>
  <si>
    <t>170/140</t>
  </si>
  <si>
    <t>TĂNG HUYẾT ÁP/TIỀN SỬ HAI MẮT ĐỤC THUỶ TINH THỂ/TẬT KHÚC XẠ/SÂU RĂNG 34/MẤT NHIỀU RĂNG</t>
  </si>
  <si>
    <t>NGUYỄN TẤN SỸ</t>
  </si>
  <si>
    <t>049043004498</t>
  </si>
  <si>
    <t>144/91</t>
  </si>
  <si>
    <t>TIỀN SỬ TĂNG HUYẾT ÁP ĐANG ĐIỀU TRỊ/ĐỤC THUỶ TINH THỂ/MẤT NHIỀU RĂNG</t>
  </si>
  <si>
    <t>PHẠM HOÀI BÃO</t>
  </si>
  <si>
    <t>049084006078</t>
  </si>
  <si>
    <t>147/95</t>
  </si>
  <si>
    <t>TĂNG HUYẾT ÁP/MỘNG THỊT HAI MẮT/VIÊM MŨI DỊ ỨNG</t>
  </si>
  <si>
    <t>HUỲNH CHẪN</t>
  </si>
  <si>
    <t>049048003671</t>
  </si>
  <si>
    <t>145/75</t>
  </si>
  <si>
    <t>TĂNG HUYẾT ÁP/ĐAU GỐI PHẢI, HẠN CHẾ VẬN ĐỘNG/GÃY XƯƠNG ĐÒN PHẢI/HỎNG MẮT PHẢI/CAO RĂNG TOÀN HÀM</t>
  </si>
  <si>
    <t>NGUYỄN TẤN TOÀN</t>
  </si>
  <si>
    <t>049072016146</t>
  </si>
  <si>
    <t>180/120</t>
  </si>
  <si>
    <t>TIỀN SỬ TĂNG HUYẾT ÁP ĐANG ĐIỀU TRỊ</t>
  </si>
  <si>
    <t>NGUYỄN VĂN HOÀNG</t>
  </si>
  <si>
    <t>049065008636</t>
  </si>
  <si>
    <t>TIỀN SỬ TĂNG HUYẾT ÁP ĐANG ĐIỀU TRỊ/ĐAU CÁC KHỚP/TẬT KHÚC XẠ/MẤT RĂNG 16/CAO RĂNG TOÀN HÀM</t>
  </si>
  <si>
    <t>TRẦN THỊ MAI</t>
  </si>
  <si>
    <t>049175014268</t>
  </si>
  <si>
    <t>RỐI LOẠN TIỀN ĐÌNH/MẤT RĂNG 34, 44, CAO RĂNG NHIỀU/VIÊM NƯỚU</t>
  </si>
  <si>
    <t>TRƯƠNG NHẬT HÙNG</t>
  </si>
  <si>
    <t>049068012180</t>
  </si>
  <si>
    <t>TS TĂNG HUYẾT ÁP ĐANG ĐIỀU TRỊ THUỐC/TS SỎI BÀNG QUANG ĐÃ PHẪU THUẬT/MỘNG THỊT MẮT PHẢI/MẤT THÍNH LỰC TAI TRÁI SAU CHẤN THƯƠNG/MẤT NHIỀU RĂNG/SÂU RĂNG 37</t>
  </si>
  <si>
    <t>MAI THỊ LẠC</t>
  </si>
  <si>
    <t>049173006935</t>
  </si>
  <si>
    <t>TĂNG HUYẾT ÁP</t>
  </si>
  <si>
    <t>NGUYỄN TẤN CHẤN</t>
  </si>
  <si>
    <t>049045002258</t>
  </si>
  <si>
    <t>TĂNG HUYẾT ÁP/NGHE KÉM TUỔI GIÀ/MẤT NHIỀU RĂNG</t>
  </si>
  <si>
    <t>MAI THỊ NHUNG</t>
  </si>
  <si>
    <t>049180014080</t>
  </si>
  <si>
    <t>TS SỎI THẬN ĐÃ ĐIỀU TRỊ NỘI KHOA/MẤT RĂNG 36</t>
  </si>
  <si>
    <t>BÙI THANH LUYẾN</t>
  </si>
  <si>
    <t>049096015398</t>
  </si>
  <si>
    <t>NGUYỄN TẤN CHÂU</t>
  </si>
  <si>
    <t>049066013793</t>
  </si>
  <si>
    <t>TĂNG HUYẾT ÁP/TẬT KHÚC XẠ/MẤT RĂNG 15, 45, SÂU RĂNG 46, 47</t>
  </si>
  <si>
    <t>BÙI VĂN HUỆ</t>
  </si>
  <si>
    <t>TIỀN SỬ TĂNG HUYẾT ÁP/ĐỤC THUỶ TINH THỂ/MẤT RĂNG 34, 44</t>
  </si>
  <si>
    <t>NGUYỄN TẤN CƯỜNG</t>
  </si>
  <si>
    <t>049054011840</t>
  </si>
  <si>
    <t>147/80</t>
  </si>
  <si>
    <t>TS TĂNG HUYẾT ÁP ĐANG ĐIỀU TRỊ/TS LOÉT DẠ DÀY XUẤT HUYẾT/ĐAU HAI GỐI, HẠN CHẾ VẬN ĐỘNG/TS RỐI LOẠN GIẤC NGỦ/TS MỔ U BAO HOẠT DỊCH TAY PHẢI/ĐỤC THUỶ TINH THỂ/MẤT NHIỀU RĂNG</t>
  </si>
  <si>
    <t>NGUYỄN TẤN KHẢI</t>
  </si>
  <si>
    <t>049068016964</t>
  </si>
  <si>
    <t>TẬT KHÚC XẠ/VIÊM MŨI DỊ ỨNG/SÂU RĂNG 45</t>
  </si>
  <si>
    <t>NGUYỄN ĐĂNG BÁCH</t>
  </si>
  <si>
    <t>049050004964</t>
  </si>
  <si>
    <t>160/60</t>
  </si>
  <si>
    <t>TS THIẾU MÁU NẶNG CÓ TRUYỀN MÁU/ĐAU VÙNG CỘT SỐNG THẮT LƯNG, HẠN CHẾ VẬN ĐỘNG/RỐI LOẠN TIỀN ĐÌNH/MỔ MẮT PHẢI VÌ ĐỤC THUỶ TINH THỂ/MẤT NHIỀU RĂNG/MẤT TOÀN BỘ RĂNG HÀM DƯỚI</t>
  </si>
  <si>
    <t>TRƯƠNG THUỲ TRANG</t>
  </si>
  <si>
    <t>049303003683</t>
  </si>
  <si>
    <t>VIÊM DA TIẾP XÚC VỚI SƠN MÓNG TAY/CẬN THỊ/GÃY SỤN MŨI ĐÃ PHẪU THUẬT</t>
  </si>
  <si>
    <t>049167015400</t>
  </si>
  <si>
    <t>TS TĂNG HUYẾT ÁP ĐANG ĐIỀU TRỊ/TS COVID 19/TS ĐÁI THÁO ĐƯỜNG TUÝP 2 BỎ ĐIỀU TRỊ/BƯỚU GIÁP NHÂN/CẮT 1 PHẦN TUYẾN GIÁP/MỘNG THỊT MẮT TRÁI ĐÃ PHẪU THUẬT/MẤT RĂNG 45, 46</t>
  </si>
  <si>
    <t>VÕ THỊ NHÌ</t>
  </si>
  <si>
    <t>049149007023</t>
  </si>
  <si>
    <t>ĐAU NHIỀU KHỚP, HẠN CHẾ VẬND ĐỘNG/TS RỐI LOẠN GIẤC NGỦ/TS ĐỨT GÂN GÓT PHẢI/GÃY XƯƠNG CÁNH TAY TRÁI/ĐỤC THUỶ TINH THỂ/MẤT NHIỀU RĂNG, SÂU RĂNG 11, 12, 21, 22, LUNG LAY RĂNG 43</t>
  </si>
  <si>
    <t>049158009017</t>
  </si>
  <si>
    <t>170/110</t>
  </si>
  <si>
    <t>TS TĂNG HUYẾT ÁP TẠM NGƯNG 03 NGÀY THUỐC/TS THOÁI HOÁ CỘT SỐNG THẮT LƯNG/ĐỤC THUỶ TINH THỂ/SÂU RĂNG 24, 43, MẤT NHIỀU RĂNG</t>
  </si>
  <si>
    <t>NGUYỄN THỊ DIỆU MY</t>
  </si>
  <si>
    <t>049165014202</t>
  </si>
  <si>
    <t>TS VIÊM GAN B ĐANG ĐIỀU TRỊ/THOÁI HOÁ CỘT SỐNG THẮT LƯNG/THOÁT VỊ ĐĨA ĐỆM CSTL/ĐỤC THUỶ TINH THỂ</t>
  </si>
  <si>
    <t>PHAN THỊ THỨC</t>
  </si>
  <si>
    <t>049144002533</t>
  </si>
  <si>
    <t>TS MỔ RUỘT THỪA VIÊM/MỔ CẮT TỬ CUNG/GÃY XƯƠNG CẲNG TAY/VIÊM BỜ MI/MẤT TOÀN BỘ RĂNG HÀM DƯỚI</t>
  </si>
  <si>
    <t>CHÂU NGỌC NHẬT</t>
  </si>
  <si>
    <t>049054007805</t>
  </si>
  <si>
    <t>180/110</t>
  </si>
  <si>
    <t>BỆNH TIM THIẾU MÁU CỤC BỘ/HỞ HAI LÁ/TS TĂNG HUYẾT ÁP ĐANG ĐIỀU TRỊ/ĐỤC THUỶ TINH THỂ/MẤT RĂNG 15, SÂU RĂNG 14, 36</t>
  </si>
  <si>
    <t>TRẦN THỊ LIÊN</t>
  </si>
  <si>
    <t>049154006954</t>
  </si>
  <si>
    <t>TĂNG HUYẾT ÁP/HAI CHI DƯỚI KHÔNG ĐỀU, HẠN CHẾ VẬN ĐỘNG/ĐỤC THUỶ TINH THỂ BẮT ĐẦU/MẤT NHIỀU RĂNG, VÔI RĂNG HAI HÀM/VIÊM NHA CHU</t>
  </si>
  <si>
    <t>MAI VĂN QUẢNG</t>
  </si>
  <si>
    <t>049065019054</t>
  </si>
  <si>
    <t>TS RỐI LOẠN GIẤC NGỦ/MẤT NHIỀU RĂNG/VÔI RĂNG HAI HÀM/VIÊM NHA CHU</t>
  </si>
  <si>
    <t>NGUYỄN TẤN HẢO</t>
  </si>
  <si>
    <t>049043004492</t>
  </si>
  <si>
    <t>128/83</t>
  </si>
  <si>
    <t>TS VIÊM DẠ DÀY/VIÊM GIÁC MẠC MẠN/ĐỤC THUỶ TINH THỂ/MẤT NHIỀU RĂNG/CAO RĂNG TOÀN HÀM</t>
  </si>
  <si>
    <t>LÊ HỒNG MY</t>
  </si>
  <si>
    <t>THẠCH KIỀU</t>
  </si>
  <si>
    <t>049197006050</t>
  </si>
  <si>
    <t>TẬT KHÚC XẠ/ĐA SÂU RĂNG/VÔI RĂNG HAI HÀM/VIÊM NƯỚU</t>
  </si>
  <si>
    <t>LÊ THỊ LIỄU</t>
  </si>
  <si>
    <t>PHÚ KHÊ</t>
  </si>
  <si>
    <t>049148006160</t>
  </si>
  <si>
    <t>TĂNG HUYẾT ÁP ĐANG ĐIỀU TRỊ/VIÊM DẠ DÀY/ĐÁI THÁO ĐƯỜNG TUÝP 2 ĐANG ĐIỀU TRỊ/THOÁI HOÁ ĐA KHỚP/RỐI LOẠN GIẤC NGỦ/SỎI THẬN HAI BÊN ĐÃ PHẪU THUẬT/HAI MẮT ĐỤC THUỶ TINH THỂ/ĐA SÂU RĂNG, CÒN NHIỀU CHÂN RĂNG/MẤT NHIỀU RĂNG/VÔI RĂNG HAI HÀM/VIÊM NHA CHU</t>
  </si>
  <si>
    <t>MAI VĂN XUÂN</t>
  </si>
  <si>
    <t>20/05/1943</t>
  </si>
  <si>
    <t>PHÚ NAM</t>
  </si>
  <si>
    <t>049043002962</t>
  </si>
  <si>
    <t>TĂNG HUYẾT ÁP/THOÁI HOÁ KHỚP/PT CẮT RUỘT THỪA/GIẢM THÍNH LỰC TUỔI/HAI MẮT ĐỤC THUỶ TINH THỂ/RĂNG 16 SÂU VỠ LỚN/MẤT RĂNG 17, 27, 36, 46, CHÂN RĂNG 37, 38 VIÊM NHA CHU</t>
  </si>
  <si>
    <t>LÊ BẢO QUỐC</t>
  </si>
  <si>
    <t>20/10/1950</t>
  </si>
  <si>
    <t>049050003813</t>
  </si>
  <si>
    <t>COPD/HAI MẮT IOL + MỘNG THỊT/VIÊM HỌNG MẠN/HÀM GIẢ</t>
  </si>
  <si>
    <t>LÊ THỊ YẾN</t>
  </si>
  <si>
    <t>049156005992</t>
  </si>
  <si>
    <t>TĂNG HUYẾT ÁP/ĐÁI THÁO ĐƯỜNG/HAI MẮT ĐỤC THUỶ TINH THỂ/MẤT RĂNG 16, 26, CHÂN 17, 27, MẤT 36, 37, 46, 47</t>
  </si>
  <si>
    <t>16/11/1953</t>
  </si>
  <si>
    <t>049153007802</t>
  </si>
  <si>
    <t>TĂNG HUYẾT ÁP/MẮT TRÁI ĐÃ MÚC NỘI NHÃN ĐẶT MẮT GIẢ/PHẢI ĐỤC THUỶ TINH THỂ/HÀM GIẢ</t>
  </si>
  <si>
    <t>HỒ THỊ GIA</t>
  </si>
  <si>
    <t>049139002397</t>
  </si>
  <si>
    <t>170/90</t>
  </si>
  <si>
    <t>TĂNG HUYẾT ÁP/THOÁI HOÁ CỘT SỐNG THẮT LƯNG/MẮT PHẢI IOL/MẮT TRÁI ĐỤC THUỶ TINH THỂ/CÒN NHIỀU CHÂN RĂNG/MẤT NHIỀU RĂNG</t>
  </si>
  <si>
    <t>LÊ VĂN TÂM</t>
  </si>
  <si>
    <t>049064023167</t>
  </si>
  <si>
    <t>TĂNG HUYẾT ÁP/HAI MẮT ĐỤC THUỶ TINH THỂ/HÀM GIẢ</t>
  </si>
  <si>
    <t>VÕ THỊ DIỆU</t>
  </si>
  <si>
    <t>049153005644</t>
  </si>
  <si>
    <t>TĂNG HUYẾT ÁP/THOÁI HOÁ KHỚP/MỔ U NANG BUỒNG TRỨNG/HAI MẮT ĐỤC THUỶ TINH THỂ/CHÂN RĂNG 24, MẤT RĂNG 26, 27, 36, 37, MÒN CỔ NHIỀU RĂNG</t>
  </si>
  <si>
    <t>ĐỖ THỊ THU TRANG</t>
  </si>
  <si>
    <t>049164012102</t>
  </si>
  <si>
    <t>HAI MẮT IOL/CHÂN RĂNG 14, 15, MẤT RĂNG TOÀN HÀM DƯỚI</t>
  </si>
  <si>
    <t>ĐỖ THỊ THÀNH</t>
  </si>
  <si>
    <t>20/09/1963</t>
  </si>
  <si>
    <t>049063007973</t>
  </si>
  <si>
    <t>TĂNG HUYẾT ÁP/TS VIÊM DẠ DÀY/VIÊM TAI GIỮA PHẢI</t>
  </si>
  <si>
    <t>NGUYỄN TẤN THƯƠNG</t>
  </si>
  <si>
    <t>049072015854</t>
  </si>
  <si>
    <t>ĐAU THƯỢNG VỊ/TS MỔ THOÁT VỊ ĐĨA ĐỆM CSTL/PHẪU THUẬT THOÁT VỊ ĐĨA ĐỆM/MẤT RĂNG 14, 34, 35, 36, 37</t>
  </si>
  <si>
    <t>TRƯƠNG THỊ THANH LAN</t>
  </si>
  <si>
    <t>20/04/1973</t>
  </si>
  <si>
    <t>049173009592</t>
  </si>
  <si>
    <t>105/75</t>
  </si>
  <si>
    <t>MỘNG THỊT MẮT TRÁI/MẤT RĂNG 15, 26, 36/SÂU RĂNG 25, 46</t>
  </si>
  <si>
    <t>ĐỖ THỊ MINH THÙY</t>
  </si>
  <si>
    <t>049165015129</t>
  </si>
  <si>
    <t>TS TĂNG HUYẾT ÁP ĐANG ĐIỀU TRỊ/TS SỎI THẬN CHƯA PHẪU THUẬT/TS MỔ THAY KHỚP GỐI TRÁI, HẠN CHẾ VẬN ĐỘNG/ĐỤC THỦY TINH THỂ BẮT ĐẦU/MẤT RĂNG 15, 16, 35, 36</t>
  </si>
  <si>
    <t>NGUYỄN THỊ NGỌC PHƯỚC</t>
  </si>
  <si>
    <t>15/02/1960</t>
  </si>
  <si>
    <t>049160004596</t>
  </si>
  <si>
    <t>TĂNG HUYẾT ÁP/TẬT KHÚC XẠ/MẤT NHIỀU RĂNG/VIÊM NHA CHU</t>
  </si>
  <si>
    <t>MAI THỊ NAY</t>
  </si>
  <si>
    <t>049157003356</t>
  </si>
  <si>
    <t>124/70</t>
  </si>
  <si>
    <t>TS TĂNG HUYẾT ÁP ĐANG ĐIỀU TRỊ/MỔ MẮT PHẢI VÌ ĐỤC THỦY TINH THỂ/MỔ TAI TRÁI/RĂNG GIẢ CẢ HAI HÀM</t>
  </si>
  <si>
    <t>049163014560</t>
  </si>
  <si>
    <t>TS TĂNG HUYẾT ÁP ĐIỀU TRỊ KHÔNG THƯỜNG XUYÊN/TS MỔ SỎI THẬN TRÁI/GÙ VẸO CỘT SỐNG DO MẮC PHẢI/MỔ SỎI THẬN PHẢI/TẬT KHÚC XẠ/MẤT NHIỀU RĂNG</t>
  </si>
  <si>
    <t>LÊ THỊ TIẾP</t>
  </si>
  <si>
    <t>049160006318</t>
  </si>
  <si>
    <t>TS TĂNG HUYẾT ÁP ĐANG ĐIỀU TRỊ/TS VIÊM ĐẠI TRÀNG/MẤT RĂNG 25, 35, 45</t>
  </si>
  <si>
    <t>VÕ THỊ HÃI</t>
  </si>
  <si>
    <t>049156009360</t>
  </si>
  <si>
    <t>VIÊM DẠ DÀY/TS CẮT TUYẾN GIÁP DO NHÂN GIÁP/MỔ CẮT RUỘT/MỔ MẮT PHẢI VÌ ĐỤC THỦY TINH THỂ/MẤT RĂNG 16, 26, 46</t>
  </si>
  <si>
    <t>NGUYỄN THẾ PHI</t>
  </si>
  <si>
    <t>049075018159</t>
  </si>
  <si>
    <t>TS TĂNG HUYẾT ÁP ĐANG ĐIỀU TRỊ/TS DỊ CHỨNG XUẤT HUYẾT NÃO/TẬT KHÚC XẠ/MẤT RĂNG 34</t>
  </si>
  <si>
    <t>TRƯƠNG MAI LỊCH</t>
  </si>
  <si>
    <t>049084004625</t>
  </si>
  <si>
    <t>ĐAU CÁC KHỚP CÁC NGÓN CHÂN/GÃY CẲNG TAY PHẢI/GÃY XƯƠNG CẲNG CHÂN PHẢI</t>
  </si>
  <si>
    <t>MAI THỊ HẢI</t>
  </si>
  <si>
    <t>TS TĂNG HUYẾT ÁP KHÔNG ĐIỀU TRỊ THƯỜNG XUYÊN/ĐỤC THỦY TINH THỂ/MẤT NHIỀU RĂNG</t>
  </si>
  <si>
    <t>VÕ VĂN TRỊNH</t>
  </si>
  <si>
    <t>15/01/1962</t>
  </si>
  <si>
    <t>049062010783</t>
  </si>
  <si>
    <t>TS DÃN TĨNH MẠCH CHI DƯỚI CHƯA ĐIỀU TRỊ/MẮT PHẢI GLOCOM ĐÃ PHẪU THUẬT/MẤT RĂNG 45, 46, 47</t>
  </si>
  <si>
    <t>NGUYỄN TẤN NHƯỢNG</t>
  </si>
  <si>
    <t>049064027994</t>
  </si>
  <si>
    <t>ĐỤC THỦY TINH THỂ/MẤT RĂNG 47</t>
  </si>
  <si>
    <t>NGUYỄN THỊ HỒNG</t>
  </si>
  <si>
    <t>TS NHỊP NHANH TRÊN THẤT ĐÃ ĐIỀU TRỊ/MỔ LẤY THAI 1 LẦN/MẤT RĂNG 36, 37, SÂU RĂNG 46</t>
  </si>
  <si>
    <t>NGUYỄN THỊ LƯƠNG</t>
  </si>
  <si>
    <t>049171008703</t>
  </si>
  <si>
    <t>MẤT NHIỀU RĂNG/SÂU RĂNG 47</t>
  </si>
  <si>
    <t>LÊ THỊ TÌNH</t>
  </si>
  <si>
    <t>044175010129</t>
  </si>
  <si>
    <t>TĂNG HUYẾT ÁP/ĐỘNG KINH/MẮT TRÁI MỘNG THỊT/MẤT RĂNG 45</t>
  </si>
  <si>
    <t>049154007389</t>
  </si>
  <si>
    <t>TS MỔ BƯỚU GIÁP/MẮT PHẢI VIÊM GIÁC MẠC/RĂNG GIẢ HÀM TRÊN</t>
  </si>
  <si>
    <t>NGUYỄN TẤN DŨNG</t>
  </si>
  <si>
    <t>049067010235</t>
  </si>
  <si>
    <t>MẮT TRÁI MỘNG THỊT/VIÊM MŨI DỊ UWNGSSAAU RĂNG 35, 36, 37, MẤT RĂNG 47</t>
  </si>
  <si>
    <t>NGUYỄN THỊ NGỌC LAN</t>
  </si>
  <si>
    <t>049169018297</t>
  </si>
  <si>
    <t>TS TĂNG HUYẾT ÁP ĐANG ĐIÊU TRỊ/LIỆT MẶT NGOẠI BIÊN/ZONA THẦN KINH/TẬT KHÚC XẠ/MẤT RĂNG 15, 16, 25, 26, 2, 35, 36, 45, 46</t>
  </si>
  <si>
    <t>VÕ VĂN DŨNG</t>
  </si>
  <si>
    <t>049067015420</t>
  </si>
  <si>
    <t>TS MỔ RUỘT THỪA VIÊM/VIÊM DA TIẾP XÚC/LOẠN THỊ/MẤT RĂNG 16, 17, 26, 27, 35, 45, SÂU RĂNG 15, 25, 37</t>
  </si>
  <si>
    <t>TRẦN PHƯỚC GIANG</t>
  </si>
  <si>
    <t>049067005103</t>
  </si>
  <si>
    <t>TS TĂNG HUYẾT ÁP KHÔNG DÙNG THUỐC THƯỜNG XUYÊN/MỔ THOÁT VỊ BẸN TRÁI/GÃY XƯƠNG NGÓN II CHÂN TRÁI/TẬT KHÚC XẠ/MẤT RĂNG/CAO RĂNG TOÀN HÀM</t>
  </si>
  <si>
    <t>MAI VĂN AN</t>
  </si>
  <si>
    <t>049070022020</t>
  </si>
  <si>
    <t>TS THOÁT VỊ ĐĨA ĐỆM CỘT SỐNG THẮT LƯNG/TẬT KHÚC XẠ</t>
  </si>
  <si>
    <t>29/09/2026</t>
  </si>
  <si>
    <t>UNG THỊ XUÂN</t>
  </si>
  <si>
    <t>BÍCH NGÔ</t>
  </si>
  <si>
    <t>049142005442</t>
  </si>
  <si>
    <t>TĂNG HUYẾT ÁP, BỆNH TIM THIẾU CỤC BỘ MẠN/ĐAU KHỚP GỐI/ĐAU THẦN KINH TOẠ/PT BÓC U VÙNG CÁNH TAY/GIẢM THÍNH LỰC/MẤT NHIỀU</t>
  </si>
  <si>
    <t>VÕ THỊ HUY</t>
  </si>
  <si>
    <t>30/06/1936</t>
  </si>
  <si>
    <t>049136004776</t>
  </si>
  <si>
    <t>ĐÁI THÁO ĐƯỜNG TUÝP 2/PT SỌ NÃO/ĐỤC THUỶ TINH THỂ HAI MẮT/MẤT NHIỀU RĂNG HAI HÀM</t>
  </si>
  <si>
    <t>NGUYỄN LAY</t>
  </si>
  <si>
    <t>14/12/1970</t>
  </si>
  <si>
    <t>049070013257</t>
  </si>
  <si>
    <t>PHẠM THỊ HỒNG</t>
  </si>
  <si>
    <t>049137009168</t>
  </si>
  <si>
    <t>ĐAU LƯNG/GIẢM THÍNH LỰC/TĂNG HUYẾT ÁP/MẤT NHIỀU RĂNG HAI HÀM</t>
  </si>
  <si>
    <t>TRƯƠNG THỊ HẠN</t>
  </si>
  <si>
    <t>TẬT KHÚC XẠ/CHÂN RĂNG 46</t>
  </si>
  <si>
    <t>TRƯƠNG QUANG LÝ</t>
  </si>
  <si>
    <t>049042002643</t>
  </si>
  <si>
    <t>VẬN ĐỘNG KÉM/GIẢM THÍNH LỰC/GÃY XƯƠNG BẢ VAI ĐÃ PT/MẤT NHIỀU RĂNG HAI HÀM</t>
  </si>
  <si>
    <t>TRƯƠNG QUANG NHỨT</t>
  </si>
  <si>
    <t>049072013196</t>
  </si>
  <si>
    <t>VIÊM DẠ DÀY/ÁP XE GAN/LIỆT THẦN KINH MẮT/SỎI THẬN ĐÃ PT</t>
  </si>
  <si>
    <t>MAI THỊ THANH TÂM</t>
  </si>
  <si>
    <t>049170008425</t>
  </si>
  <si>
    <t>HỞ VAN 03 LÁ/ĐÃ PT NỐI GÂN TAY TRÁI/TẬT KHÚC XẠ/VIÊM XOANG MẠN/MẤT NHIỀU RĂNG HAI HÀM</t>
  </si>
  <si>
    <t>30/9/2026</t>
  </si>
  <si>
    <t>BÙI THỊ THÙY</t>
  </si>
  <si>
    <t>PHÚ TRUNG</t>
  </si>
  <si>
    <t>049153011301</t>
  </si>
  <si>
    <t>TRẦN THỊ THI</t>
  </si>
  <si>
    <t>KHƯƠNG MỸ</t>
  </si>
  <si>
    <t>049174005235</t>
  </si>
  <si>
    <t>114/69</t>
  </si>
  <si>
    <t>TRẦN VĂN THI</t>
  </si>
  <si>
    <t>049072013490</t>
  </si>
  <si>
    <t>154/95</t>
  </si>
  <si>
    <t>VŨ NGỌC THẮNG</t>
  </si>
  <si>
    <t>049049002854</t>
  </si>
  <si>
    <t>131/72</t>
  </si>
  <si>
    <t>NGUYỄN THỊ TÌNH</t>
  </si>
  <si>
    <t>049140003702</t>
  </si>
  <si>
    <t>TRẦN HƯNG TRÍ</t>
  </si>
  <si>
    <t>049038003485</t>
  </si>
  <si>
    <t>137/70</t>
  </si>
  <si>
    <t>NGUYỄN THỊ TRÍ</t>
  </si>
  <si>
    <t>049165008523</t>
  </si>
  <si>
    <t>PT CSTL/ BƯỚU GIÁP</t>
  </si>
  <si>
    <t>NGUYỄN VĂN THỬ</t>
  </si>
  <si>
    <t>049049003449</t>
  </si>
  <si>
    <t>150/88</t>
  </si>
  <si>
    <t>049156012016</t>
  </si>
  <si>
    <t>131/81</t>
  </si>
  <si>
    <t>TRẦN THỊ VÂN ANH</t>
  </si>
  <si>
    <t>049171011877</t>
  </si>
  <si>
    <t>TRẦN THỊ MINH NGUYỆT</t>
  </si>
  <si>
    <t>049153009284</t>
  </si>
  <si>
    <t>186/107</t>
  </si>
  <si>
    <t>TRẦN THỊ NGA</t>
  </si>
  <si>
    <t>049187006743</t>
  </si>
  <si>
    <t>95/67</t>
  </si>
  <si>
    <t>NGUYỄN TƯỜNG RIN</t>
  </si>
  <si>
    <t>049091002063</t>
  </si>
  <si>
    <t>114/82</t>
  </si>
  <si>
    <t>BÙI THỊ HOANH</t>
  </si>
  <si>
    <t>049178014052</t>
  </si>
  <si>
    <t>171/99</t>
  </si>
  <si>
    <t>049143005844</t>
  </si>
  <si>
    <t>112/67</t>
  </si>
  <si>
    <t>ĐINH NGỌC HÂN</t>
  </si>
  <si>
    <t>049187017674</t>
  </si>
  <si>
    <t>122/91</t>
  </si>
  <si>
    <t>049147001935</t>
  </si>
  <si>
    <t>126/71</t>
  </si>
  <si>
    <t>THA/ THCSTL</t>
  </si>
  <si>
    <t>ĐOÀN NGỌC DUY</t>
  </si>
  <si>
    <t>049083004475</t>
  </si>
  <si>
    <t>140/108</t>
  </si>
  <si>
    <t xml:space="preserve">THA </t>
  </si>
  <si>
    <t>HỒ THANH HẰNG</t>
  </si>
  <si>
    <t>049083002604</t>
  </si>
  <si>
    <t>139/83</t>
  </si>
  <si>
    <t>NGUYỄN VĂN TUẤN</t>
  </si>
  <si>
    <t>049094016988</t>
  </si>
  <si>
    <t>144/84</t>
  </si>
  <si>
    <t>PHAN THỊ HỒNG KIỀU</t>
  </si>
  <si>
    <t>049194017063</t>
  </si>
  <si>
    <t>108/76</t>
  </si>
  <si>
    <t>NGUYỄN VĂN HIẾU</t>
  </si>
  <si>
    <t>049065018966</t>
  </si>
  <si>
    <t>PHẠM THỊ ÁI NHI</t>
  </si>
  <si>
    <t>049195012304</t>
  </si>
  <si>
    <t>126/80</t>
  </si>
  <si>
    <t>NGUYỄN THỊ NGỌC HUỆ</t>
  </si>
  <si>
    <t>049170008002</t>
  </si>
  <si>
    <t>155/102</t>
  </si>
  <si>
    <t>NGUYỄN NGỌC ĐIỆP</t>
  </si>
  <si>
    <t>049063010148</t>
  </si>
  <si>
    <t>157/88</t>
  </si>
  <si>
    <t>DƯƠNG THỊ LỆ KIỀU</t>
  </si>
  <si>
    <t>049170011049</t>
  </si>
  <si>
    <t>147/90</t>
  </si>
  <si>
    <t>TRẦN THỊ QUẢNG</t>
  </si>
  <si>
    <t>049176012937</t>
  </si>
  <si>
    <t>154/97</t>
  </si>
  <si>
    <t>NGUYỄN CÔNG HẠNH</t>
  </si>
  <si>
    <t>049069010334</t>
  </si>
  <si>
    <t>127/92</t>
  </si>
  <si>
    <t>NGUYỄN THỊ VI</t>
  </si>
  <si>
    <t>049194002524</t>
  </si>
  <si>
    <t>115/78</t>
  </si>
  <si>
    <t>NGUYỄN CÔNG TIẾN PHÚ</t>
  </si>
  <si>
    <t>049206011628</t>
  </si>
  <si>
    <t>124/94</t>
  </si>
  <si>
    <t>TẬT KHÚC XẠ MẮT</t>
  </si>
  <si>
    <t>NGUYỄN THỊ PHƯƠNG DUNG</t>
  </si>
  <si>
    <t>049167015047</t>
  </si>
  <si>
    <t>120/78</t>
  </si>
  <si>
    <t>KHUYẾT SỌ DO TNGT ĐÃ PT</t>
  </si>
  <si>
    <t>TRẦN Ý LINH</t>
  </si>
  <si>
    <t>049311013265</t>
  </si>
  <si>
    <t>106/59</t>
  </si>
  <si>
    <t>TRẦN THỊ VĨNH</t>
  </si>
  <si>
    <t>049150006119</t>
  </si>
  <si>
    <t>TH KHỚP GỐI/ THCS</t>
  </si>
  <si>
    <t>NGUYỄN TẤN ĐOÀN</t>
  </si>
  <si>
    <t>049040002265</t>
  </si>
  <si>
    <t>ĐỤC TTT/ HO DAI DẲNG</t>
  </si>
  <si>
    <t>TRẦN THỊ MIỀN</t>
  </si>
  <si>
    <t>PHÚ HƯNG</t>
  </si>
  <si>
    <t>049164000432</t>
  </si>
  <si>
    <t>THK.VAI/ GỐI</t>
  </si>
  <si>
    <t>ĐOÀN THỊ THUẬN</t>
  </si>
  <si>
    <t>04915700588</t>
  </si>
  <si>
    <t>THA/ MỖ U NANG BUỒNG TRỨNG</t>
  </si>
  <si>
    <t>MAI HUỀ</t>
  </si>
  <si>
    <t>049064024474</t>
  </si>
  <si>
    <t>169/73</t>
  </si>
  <si>
    <t>MAI VĂN TRUNG</t>
  </si>
  <si>
    <t>049068011399</t>
  </si>
  <si>
    <t>140/92</t>
  </si>
  <si>
    <t>HUỲNH TẤN VƯƠNG</t>
  </si>
  <si>
    <t>TB</t>
  </si>
  <si>
    <t>049059002647</t>
  </si>
  <si>
    <t>MAI THỊ MINH</t>
  </si>
  <si>
    <t>049158007730</t>
  </si>
  <si>
    <t>TRẦN HỮU NỞ</t>
  </si>
  <si>
    <t>049059008321</t>
  </si>
  <si>
    <t>THÁI VIẾT HOÀNG</t>
  </si>
  <si>
    <t>049052005195</t>
  </si>
  <si>
    <t>CHƯA KHÁM BH</t>
  </si>
  <si>
    <t>049088010941</t>
  </si>
  <si>
    <t>NGÔ TIẾN DƯỠNG</t>
  </si>
  <si>
    <t>049081008092</t>
  </si>
  <si>
    <t>LỮ THỊ TIẾN</t>
  </si>
  <si>
    <t>049153008840</t>
  </si>
  <si>
    <t>NGUYỄN TẤN LOAN</t>
  </si>
  <si>
    <t>049056007735</t>
  </si>
  <si>
    <t>THA/ MỖ RUỘT THỪA</t>
  </si>
  <si>
    <t>TRẦN THỊ HUYÊN</t>
  </si>
  <si>
    <t>049303003677</t>
  </si>
  <si>
    <t>NGUYỄN NAM</t>
  </si>
  <si>
    <t>049076014334</t>
  </si>
  <si>
    <t>KHUYẾT SỌ/ SUY THẬN</t>
  </si>
  <si>
    <t>TRƯƠNG THỊ KIM CÚC</t>
  </si>
  <si>
    <t>051143005732</t>
  </si>
  <si>
    <t>THA/ MỖ LẤY ĐẠN Ở SỌ</t>
  </si>
  <si>
    <t>ĐỖ THỊ NHƯ LƯU</t>
  </si>
  <si>
    <t>049197015909</t>
  </si>
  <si>
    <t>NGUYỄN DUY MẠNH</t>
  </si>
  <si>
    <t>049203013334</t>
  </si>
  <si>
    <t>ĐỖ THỊ HOA</t>
  </si>
  <si>
    <t>049141004620</t>
  </si>
  <si>
    <t>THKG</t>
  </si>
  <si>
    <t>PHẠM THỊ NGUYỆT</t>
  </si>
  <si>
    <t>049164014404</t>
  </si>
  <si>
    <t>TRẦN THỊ HỒNG</t>
  </si>
  <si>
    <t>049149007427</t>
  </si>
  <si>
    <t>NGÔ THỊ HỌC</t>
  </si>
  <si>
    <t>049163003502</t>
  </si>
  <si>
    <t>HỒ VĂN NHÂN</t>
  </si>
  <si>
    <t>049059009017</t>
  </si>
  <si>
    <t>TRỊNH MINH BẢO</t>
  </si>
  <si>
    <t>049207012300</t>
  </si>
  <si>
    <t>LÊ SÁCH</t>
  </si>
  <si>
    <t>049039003295</t>
  </si>
  <si>
    <t>HỒ VĂN QUÝ TRỌNG</t>
  </si>
  <si>
    <t>049208013147</t>
  </si>
  <si>
    <t>MAI THỊ MINH HẠNH</t>
  </si>
  <si>
    <t>049199005342</t>
  </si>
  <si>
    <t>TRẦN THỊ BINH</t>
  </si>
  <si>
    <t>049170013654</t>
  </si>
  <si>
    <t>TRẦN LỘC</t>
  </si>
  <si>
    <t>049068006991</t>
  </si>
  <si>
    <t>TRẦN THỊ HUYỀN</t>
  </si>
  <si>
    <t>PHÚ hƯNG</t>
  </si>
  <si>
    <t>049191008196</t>
  </si>
  <si>
    <t>110/90</t>
  </si>
  <si>
    <t>VŨ THỊ ANH ĐÀO</t>
  </si>
  <si>
    <t>049174013118</t>
  </si>
  <si>
    <t>TRẦN NGHỆ</t>
  </si>
  <si>
    <t>049071020328</t>
  </si>
  <si>
    <t>TRẦN QUÂN</t>
  </si>
  <si>
    <t>049205001920</t>
  </si>
  <si>
    <t>TRẦN VŨ TRÀ LINH</t>
  </si>
  <si>
    <t>049300003278</t>
  </si>
  <si>
    <t>NGUYỄN TẤN TUẤT</t>
  </si>
  <si>
    <t>049070147738</t>
  </si>
  <si>
    <t>TRẦN THỊ CÚC</t>
  </si>
  <si>
    <t>049153005404</t>
  </si>
  <si>
    <t>TRẦN LIÊU</t>
  </si>
  <si>
    <t>049074009583</t>
  </si>
  <si>
    <t xml:space="preserve">THA   </t>
  </si>
  <si>
    <t>NGUYỄN THỊ HUYỆN</t>
  </si>
  <si>
    <t>049154003769</t>
  </si>
  <si>
    <t>NGUYỄN THỊ HƯỜNG</t>
  </si>
  <si>
    <t>049154004321</t>
  </si>
  <si>
    <t>ĐỖ THỊ THU HIỀN</t>
  </si>
  <si>
    <t>049177010193</t>
  </si>
  <si>
    <t>NGUYỄN THỊ NHI</t>
  </si>
  <si>
    <t>049142002341</t>
  </si>
  <si>
    <t>THA/ĐTĐ/PARKINSON</t>
  </si>
  <si>
    <t>ĐẶNG THỊ NGỌC LỆ</t>
  </si>
  <si>
    <t>049165014456</t>
  </si>
  <si>
    <t xml:space="preserve">THA  </t>
  </si>
  <si>
    <t>PHẠM THỊ CHÂU</t>
  </si>
  <si>
    <t>049157003205</t>
  </si>
  <si>
    <t>ĐỖ THỊ TÂM</t>
  </si>
  <si>
    <t>LÊ THỊ UNG ANH</t>
  </si>
  <si>
    <t>049171012561</t>
  </si>
  <si>
    <t>TRẦN THỊ ĐẮC</t>
  </si>
  <si>
    <t>049152004161</t>
  </si>
  <si>
    <t>049147006612</t>
  </si>
  <si>
    <t>PHẠM VĂN LONG</t>
  </si>
  <si>
    <t>049046001845</t>
  </si>
  <si>
    <t>180/90</t>
  </si>
  <si>
    <t>THA ĐANG ĐIỀU TRỊ</t>
  </si>
  <si>
    <t>NGUYỄN THỊ KHOA</t>
  </si>
  <si>
    <t>049146002660</t>
  </si>
  <si>
    <t>170/80</t>
  </si>
  <si>
    <t>LÊ THỊ VÂN</t>
  </si>
  <si>
    <t>049142003595</t>
  </si>
  <si>
    <t>PHẠM NGUYÊN TUẤN</t>
  </si>
  <si>
    <t>049095000246</t>
  </si>
  <si>
    <t>NGÔ THỊ SÂM</t>
  </si>
  <si>
    <t>049136003321</t>
  </si>
  <si>
    <t>189/90</t>
  </si>
  <si>
    <t>TRỊNH THỊ TRÍ</t>
  </si>
  <si>
    <t>049135002669</t>
  </si>
  <si>
    <t>BÙI NHƯ Ý</t>
  </si>
  <si>
    <t>049075012888</t>
  </si>
  <si>
    <t>NGUYỄN TIẾN LUẬT</t>
  </si>
  <si>
    <t>049065013897</t>
  </si>
  <si>
    <t>NGUYỄN THỊ ĐẠT</t>
  </si>
  <si>
    <t>049152008021</t>
  </si>
  <si>
    <t>THA/ THKG</t>
  </si>
  <si>
    <t>NGÔ VĂN VẦY</t>
  </si>
  <si>
    <t>049045003199</t>
  </si>
  <si>
    <t>THA/ RLGN</t>
  </si>
  <si>
    <t>NGÔ THỊ LAM</t>
  </si>
  <si>
    <t>049169010767</t>
  </si>
  <si>
    <t>VPQ</t>
  </si>
  <si>
    <t>PHẠM VŨ LUYỆN</t>
  </si>
  <si>
    <t>TRẦN THỊ HOA</t>
  </si>
  <si>
    <t>049160009957</t>
  </si>
  <si>
    <t>049167003448</t>
  </si>
  <si>
    <t>NGÔ THỊ VÂN</t>
  </si>
  <si>
    <t>049152006364</t>
  </si>
  <si>
    <t>NGUYỄN THỊ BÍCH</t>
  </si>
  <si>
    <t>049142006562</t>
  </si>
  <si>
    <t>049051005453</t>
  </si>
  <si>
    <t>BÙI THÀNH CHUNG</t>
  </si>
  <si>
    <t>049054003244</t>
  </si>
  <si>
    <t>PHAN THỊ LAN</t>
  </si>
  <si>
    <t>049150010639</t>
  </si>
  <si>
    <t xml:space="preserve">THA/ĐTĐ  </t>
  </si>
  <si>
    <t>PHAN PHẬN</t>
  </si>
  <si>
    <t>049044000110</t>
  </si>
  <si>
    <t>ĐỖ THỊ XUYÊN</t>
  </si>
  <si>
    <t>HỒ THỊ HẢI</t>
  </si>
  <si>
    <t>049163011520</t>
  </si>
  <si>
    <t>NGUYỄN THỊ CÁT</t>
  </si>
  <si>
    <t>049164008014</t>
  </si>
  <si>
    <t>LÊ THỊ PHƯỢNG</t>
  </si>
  <si>
    <t>049155006612</t>
  </si>
  <si>
    <t>NGUYỄN THỊ KIM THÁI</t>
  </si>
  <si>
    <t>049164005767</t>
  </si>
  <si>
    <t>RLGN</t>
  </si>
  <si>
    <t>NGUYỄN THỊ ANH</t>
  </si>
  <si>
    <t>049157004750</t>
  </si>
  <si>
    <t>NGÔ CÔNG CẦN</t>
  </si>
  <si>
    <t>049056007570</t>
  </si>
  <si>
    <t>LƯƠNG THỊ THANH</t>
  </si>
  <si>
    <t>049156013943</t>
  </si>
  <si>
    <t>TRẦN THỊ CANH</t>
  </si>
  <si>
    <t>049163011754</t>
  </si>
  <si>
    <t>TRƯƠNG CÔNG MINH NHỰT</t>
  </si>
  <si>
    <t>049096017166</t>
  </si>
  <si>
    <t>ĐỖ VẠN THIỆU</t>
  </si>
  <si>
    <t>049065014620</t>
  </si>
  <si>
    <t>ĐỖ TUẤN</t>
  </si>
  <si>
    <t>049038004778</t>
  </si>
  <si>
    <t>DOÃN BÁ BẮC</t>
  </si>
  <si>
    <t>049073017834</t>
  </si>
  <si>
    <t>CAO THỊ BÌNH</t>
  </si>
  <si>
    <t>049168011556</t>
  </si>
  <si>
    <t>NGUYỄN TẤN MÊNH</t>
  </si>
  <si>
    <t>049069002106</t>
  </si>
  <si>
    <t>TRỊNH THỊ LỰ</t>
  </si>
  <si>
    <t>049164016303</t>
  </si>
  <si>
    <t>LÊ VĂN QUANG</t>
  </si>
  <si>
    <t>049067014344</t>
  </si>
  <si>
    <t>COPD ĐANG ĐT</t>
  </si>
  <si>
    <t>MAI THỊ THU</t>
  </si>
  <si>
    <t>049152004413</t>
  </si>
  <si>
    <t>HỒ VĂN TRÌNH ÊM</t>
  </si>
  <si>
    <t>049091006008</t>
  </si>
  <si>
    <t>HUỲNH THỊ XUÂN</t>
  </si>
  <si>
    <t>049158005723</t>
  </si>
  <si>
    <t xml:space="preserve">PHẠM VŨ  </t>
  </si>
  <si>
    <t>049060008437</t>
  </si>
  <si>
    <t>NGUYỄN TẤN PHƯỚC</t>
  </si>
  <si>
    <t>049066013741</t>
  </si>
  <si>
    <t>LÊ THỊ VI</t>
  </si>
  <si>
    <t>049155009862</t>
  </si>
  <si>
    <t>LÊ ĐÌNH TUẤN</t>
  </si>
  <si>
    <t>049064026834</t>
  </si>
  <si>
    <t>LÊ THỊ TUYỀN</t>
  </si>
  <si>
    <t>049163003731</t>
  </si>
  <si>
    <t>XƠ VỮA ĐM ĐANG ĐT</t>
  </si>
  <si>
    <t>BÙI THỊ THANH LÂM</t>
  </si>
  <si>
    <t>049166008521</t>
  </si>
  <si>
    <t>PHẠM THỊ NHÌ</t>
  </si>
  <si>
    <t>049150007956</t>
  </si>
  <si>
    <t>TRẦN THANH THUẬT</t>
  </si>
  <si>
    <t>049060010874</t>
  </si>
  <si>
    <t>LÊ TỔNG</t>
  </si>
  <si>
    <t>049048003489</t>
  </si>
  <si>
    <t>TĂNG HUYẾT ÁP ĐANG ĐIỀU TRỊ THUỐC/THOÁI HÓA CỘT SỐNG THẮT LƯNG/MỔ KHX CẲNG CHÂN TRÁI/HAI MẮT NHÌN MỜ/MẤT NHIỀU RĂNG</t>
  </si>
  <si>
    <t>NGUYỄN ĐỨC ĐÂY</t>
  </si>
  <si>
    <t>049052008846</t>
  </si>
  <si>
    <t>TIỂU RẮT NHIỀU LẦN/MỔ CẮT THẬN TRÁI/MẤT NHIỀU RĂNG HAI HÀM</t>
  </si>
  <si>
    <t>MAI KIM QUỐC</t>
  </si>
  <si>
    <t>TAM XUÂN</t>
  </si>
  <si>
    <t>049066013141</t>
  </si>
  <si>
    <t>TĂNG HUYẾT ÁP ĐANG ĐIỀU TRỊ/ĐÁI THÁO ĐƯỜNG, GÚT ĐANG ĐIỀU TRỊ/TS MỔ RUỘT THỪA/MỔ ĐỤC THỦY TINH THỂ MẮT TRÁI/MẤT RĂNG 16, 26, 36, 46</t>
  </si>
  <si>
    <t>NGUYỄN DĐÌNH BỘ</t>
  </si>
  <si>
    <t>049173010855</t>
  </si>
  <si>
    <t>130/60</t>
  </si>
  <si>
    <t>MẤT RĂNG 16, 26, 37, 46, 47</t>
  </si>
  <si>
    <t>NGUYỄN VĂN PHƯƠNG</t>
  </si>
  <si>
    <t>049043003235</t>
  </si>
  <si>
    <t>SỎI THẬN, TIỂU BUỐT/THOÁI HÓA CỘT SỐNG THẮT LƯNG/DI CHỨNG TAI BIẾN MẠCH MÁU NÃO/TÊ BÌ HAI BÀN TAY/MỔ DẠ DÀY + SỎI MẬT/MỔ ĐỤC THỦY TINH THỂ 2 MẮT/MẤT NHIỀU RĂNG</t>
  </si>
  <si>
    <t>ĐỖ THẾ PHONG</t>
  </si>
  <si>
    <t>049062007703</t>
  </si>
  <si>
    <t>TĂNG HA ĐANG ĐIỀU TRỊ/THOÁI HÓA CỘT SỐNG THẮT LƯNG + HAI GỐI/VIỄN THỊ/</t>
  </si>
  <si>
    <t>NGUYỄN THỊ THU THỦY</t>
  </si>
  <si>
    <t>049166009987</t>
  </si>
  <si>
    <t>MẤT RĂNG 36, 37, 46</t>
  </si>
  <si>
    <t>HUỲNH THỊ LAN</t>
  </si>
  <si>
    <t>049154015170</t>
  </si>
  <si>
    <t>THOÁI HÓA CỘT SỐNG THẮT LƯNG/RĂNG GIẢ, MẤT NHIỀU RĂNG, VIÊM NHA CHU</t>
  </si>
  <si>
    <t>NGÔ THỊ PHƯỢNG</t>
  </si>
  <si>
    <t>049174010695</t>
  </si>
  <si>
    <t>THOÁI HÓA CỘT SỐNG CỔ + CỘT SỐNG THẮT LƯNG/MỔ RUỘT THỪA/MẤT NHIỀU RĂNG, VIÊM NHA CHU</t>
  </si>
  <si>
    <t>NGUYỄN THỊ HẬN</t>
  </si>
  <si>
    <t>049164007794</t>
  </si>
  <si>
    <t>TĂNG HUYẾT ÁP CHƯA ĐIỀU TRỊ/VIÊM DẠ DÀY/MỔ SỎI THẬN HAI BÊN/GÃY XƯƠNG CẲNG TAY PHẢI CỐ ĐỊNH BỘT/CHÂN RĂNG 25, VIÊM NHA CHU</t>
  </si>
  <si>
    <t>HUỲNH QUYẾT THẮNG</t>
  </si>
  <si>
    <t>049067011041</t>
  </si>
  <si>
    <t>TĂNG HUYẾT ÁP KHÔNG ĐIỀU TRỊ/THOÁI HÓA CỘT SỐNG THẮT LƯNG/MỔ KHX CÁNH TAY TRÁI/MẤT NHIỀU RĂNG</t>
  </si>
  <si>
    <t>049186004885</t>
  </si>
  <si>
    <t>135/75</t>
  </si>
  <si>
    <t>CẬN THỊ HAI MẮT/VIÊM NHA CHU MẤT RĂNG 36, 37</t>
  </si>
  <si>
    <t>TRẦN THỊ BÍCH</t>
  </si>
  <si>
    <t>049145006481</t>
  </si>
  <si>
    <t>MỔ KHX ĐÙI TRÁI/MẮT NHÌN MỜ/MẤT NHIỀU RĂNG</t>
  </si>
  <si>
    <t>VÕ THỊ HƯỜNG</t>
  </si>
  <si>
    <t>20/10/1934</t>
  </si>
  <si>
    <t>049134002273</t>
  </si>
  <si>
    <t>150/70</t>
  </si>
  <si>
    <t>TĂNG HA ĐANG ĐIỀU TRỊ/THOÁI HÓA KHỚP GỐI HAI BÊN/MẤT NHIỀU RĂNG, CÒN NHIỀU CHÂN RĂNG</t>
  </si>
  <si>
    <t>049171011958</t>
  </si>
  <si>
    <t>RỐI LOẠN TIỀN ĐÌNH/MẮT NHÌN MỜ/RĂNG GIẢ HAI HÀM</t>
  </si>
  <si>
    <t>049148007188</t>
  </si>
  <si>
    <t>THOÁI HÓA KHỚP GỐI HAI BÊN/MẮT PHẢI ĐỤC THỦY TINH THỂ ĐÃ PHẪU THUẬT/MẤT NHIỀU RĂNG HAI HÀM</t>
  </si>
  <si>
    <t>NGUYỄN THÁI GIÁP</t>
  </si>
  <si>
    <t>20/10/1984</t>
  </si>
  <si>
    <t>049084006120</t>
  </si>
  <si>
    <t>VIÊM DẠ DÀY/MẤT RĂNG 46</t>
  </si>
  <si>
    <t>NGUYỄN TẤN BINH</t>
  </si>
  <si>
    <t>049045002859</t>
  </si>
  <si>
    <t>THOÁI HÓA KHỚP GỐI HAI BÊN/MỔ DẪN LƯU TRÀN DỊCH PHỔI/NGHE KÉM/MẤT NHIỀU RĂNG</t>
  </si>
  <si>
    <t>NGUYỄN TẤN CHỨNG</t>
  </si>
  <si>
    <t>049045004228</t>
  </si>
  <si>
    <t>THOÁI HÓA KHỚP GỐI HAI BÊN + KHỚP BÀN NGÓN TAY/MỔ THOÁT VỊ BẸN/NGHE KÉM/MẤT NHIỀU RĂNG</t>
  </si>
  <si>
    <t>049174008851</t>
  </si>
  <si>
    <t>VIÊM DẠ DÀY/NHÌN MỜ</t>
  </si>
  <si>
    <t>NGÔ THỊ THƠM</t>
  </si>
  <si>
    <t>20/04/1964</t>
  </si>
  <si>
    <t>049154010888</t>
  </si>
  <si>
    <t>TĂNG HUYẾT ÁP ĐANG ĐIỀU TRỊ THUỐC/THOÁI HÓA CỘT SỐNG THẮT LƯNG/MỔ RUỘT THỪA/MẤT RĂNG HAI HÀM</t>
  </si>
  <si>
    <t>HÀ THỊ THÚY MAI</t>
  </si>
  <si>
    <t>14/8/1958</t>
  </si>
  <si>
    <t>027159010063</t>
  </si>
  <si>
    <t>145/95</t>
  </si>
  <si>
    <t>TĂNG HUYẾT ÁP ĐANG ĐIỀU TRỊ THUỐC/THOÁI HÓA CỘT SỐNG THẮT LƯNG/MẤT RĂNG 36, 46</t>
  </si>
  <si>
    <t>BÙI THỊ THANH PHỤ</t>
  </si>
  <si>
    <t>29/8/1974</t>
  </si>
  <si>
    <t>049174011885</t>
  </si>
  <si>
    <t>NGUYỄN ĐẲNG</t>
  </si>
  <si>
    <t>20/3/1943</t>
  </si>
  <si>
    <t>049043003917</t>
  </si>
  <si>
    <t>TĂNG HUYẾT ÁP ĐANG ĐIỀU TRỊ/THOÁI HÓA KHỚP BÀN NGÓN TAY/DI CHỨNG TAI BIẾN MẠCH MÁU NÃO/YẾU HAI CHÂN/NGHE KÉM HAI TAI/MẤT NHIỀU RĂNG HAI HÀM</t>
  </si>
  <si>
    <t>NGUYỄN VĂN THÌN</t>
  </si>
  <si>
    <t>14/4/1968</t>
  </si>
  <si>
    <t>049068010969</t>
  </si>
  <si>
    <t>155/90</t>
  </si>
  <si>
    <t>MẤT NHIỀU RĂNG/VIÊM NHA CHU</t>
  </si>
  <si>
    <t>NGUYỄN ĐỨC THẢO</t>
  </si>
  <si>
    <t>18/4/1992</t>
  </si>
  <si>
    <t>049092009324</t>
  </si>
  <si>
    <t>THOÁI HÓA CỘT SỐNG THẮT LƯNG/MỔ KHX ĐÙI TRÁI/MẤT NHIỀU RĂNG</t>
  </si>
  <si>
    <t>TRƯƠNG THỊ SÂM</t>
  </si>
  <si>
    <t>049149003075</t>
  </si>
  <si>
    <t>VIÊM DẠ DÀY/THOÁI HÓA CỘT SỐNG THẮT LƯNG + GÙ CỘT SỐNG THẮT LƯNG/MẤT NHIỀU RĂNG</t>
  </si>
  <si>
    <t>NGUYỄN VĂN THÀNH</t>
  </si>
  <si>
    <t>049208009391</t>
  </si>
  <si>
    <t>150/85</t>
  </si>
  <si>
    <t>HAI MẮT TẬT KHÚC XẠ/CHÂN RĂNG 36, 46</t>
  </si>
  <si>
    <t>NGUYỄN THỊ QUY</t>
  </si>
  <si>
    <t>049174008906</t>
  </si>
  <si>
    <t>VIÊM DẠ DÀY</t>
  </si>
  <si>
    <t>15/3/1968</t>
  </si>
  <si>
    <t>049168006221</t>
  </si>
  <si>
    <t>115/80</t>
  </si>
  <si>
    <t>RỐI LOẠN NHỊP/THOÁI HÓA CỘT SỐNG THẮT LƯNG/HAI MẮT LÃO THỊ/RĂNG GIẢ HAI HÀM</t>
  </si>
  <si>
    <t>TRẦN THỊ YẾN</t>
  </si>
  <si>
    <t>049174007886</t>
  </si>
  <si>
    <t>VIÊM DẠ DÀY, HP DẠ DÀY/VIÊM NHA CHU</t>
  </si>
  <si>
    <t>049158015631</t>
  </si>
  <si>
    <t>MẤT NHIỀU RĂNG HAI HÀM</t>
  </si>
  <si>
    <t>TRẦN THỊ NGỌC</t>
  </si>
  <si>
    <t>049149003569</t>
  </si>
  <si>
    <t>HAI MẮT TẬT KHÚC XẠ/MẤT NHIỀU RĂNG</t>
  </si>
  <si>
    <t>LÊ THỊ LAN</t>
  </si>
  <si>
    <t>049148003205</t>
  </si>
  <si>
    <t>THOÁI HÓA CỘT SỐNG THẮT LƯNG + KHỚP GỐI HAI BÊN/MÔT RUỘT THỪA/HAI MẮT LÃO THỊ/NGHE KÉM/MẤT NHIỀU RĂNG, CÒN CHÂN RĂNG</t>
  </si>
  <si>
    <t>NGUYỄN XUÂN DUNG</t>
  </si>
  <si>
    <t>049057008287</t>
  </si>
  <si>
    <t>160/85</t>
  </si>
  <si>
    <t>TĂNG HUYẾT ÁP/THOÁI HÓA KHỚP BÀN NGÓN TAY/MẮT PHẢI MỘNG THỊT ĐÃ PHẪU THUẬT/RĂNG GIẢ HAI HÀM</t>
  </si>
  <si>
    <t>LÊ TẤN ĐỊNH</t>
  </si>
  <si>
    <t>25/9/1964</t>
  </si>
  <si>
    <t>049064030250</t>
  </si>
  <si>
    <t>155/80</t>
  </si>
  <si>
    <t>TĂNG HUYẾT ÁP ĐANG ĐIỀU TRỊ THUỐC/VIÊM DẠ DÀY/MỔ CỐ ĐỊNH CỘT SỐNG THẮT LƯNG/VIỄN THỊ</t>
  </si>
  <si>
    <t>TRẦN THỊ SÂM</t>
  </si>
  <si>
    <t>049157008808</t>
  </si>
  <si>
    <t>ĐÁI THÁO ĐƯỜNG ĐANG ĐIỀU TRỊ THUỐC/MỔ CẮT U XƠ TỬ CUNG/MẮT GIẢ MẮT TRÁI/RĂNG GIẢ/MẤT NHIỀU RĂNG</t>
  </si>
  <si>
    <t>LÊ THANH ĐIỆP</t>
  </si>
  <si>
    <t>049050005468</t>
  </si>
  <si>
    <t>CÓ CẢM GIÁC + ĐI CẦU TỰ CHỦ/TIỂU KHÔNG TỰ CHỦ/YẾU TỨ CHI, CO RÚT CƠ TỨ CHI/CHẤN THƯƠNG TỦY SỐNG CỔ ĐOẠN C3-C5/PHẪU THUẬT CỘT SỐNG CỔ + CHẤN THƯƠNG CỔ, DI CHỨNG YẾU TỨ CHI/HAI MẮT NHÌN MỜ</t>
  </si>
  <si>
    <t>CHÂU THỊ HÀ</t>
  </si>
  <si>
    <t>18/8/1964</t>
  </si>
  <si>
    <t>049164003813</t>
  </si>
  <si>
    <t>VIÊM DẠ DÀY/THOÁI HÓA CỘT SỐNG THẮT LƯNG/RỐI LOẠN TIỀN ĐÌNH/MỔ ĐỤC THỦY TINH THỂ MẮT TRÁI/MẤT NHIỀU RĂNG</t>
  </si>
  <si>
    <t>LÊ THỊ HƯƠNG</t>
  </si>
  <si>
    <t>049160006031</t>
  </si>
  <si>
    <t>VIÊM DẠ DÀY/THOÁI HÓA KHỚP VAI/RỐI LOẠN GIẤC NGỦ/MỔ RUỘT THỪA/NHÌN MỜ/MẤT RĂNG 46</t>
  </si>
  <si>
    <t>TRỊNH THỊ DIÊM</t>
  </si>
  <si>
    <t>20/10/1965</t>
  </si>
  <si>
    <t>049165006224</t>
  </si>
  <si>
    <t>VIÊM DẠ DÀY/THOÁI HÓA CỘT SỐNG THẮT LƯNG/MỔ RUỘT THỪA/VIỄN THỊ/RĂNG GIẢ</t>
  </si>
  <si>
    <t>HUỲNH VĂN TRƯỞNG</t>
  </si>
  <si>
    <t>049079011695</t>
  </si>
  <si>
    <t>150/95</t>
  </si>
  <si>
    <t>TĂNG HUYẾT ÁP/MẤT RĂNG 26</t>
  </si>
  <si>
    <t>049170012707</t>
  </si>
  <si>
    <t>VIÊM DẠ DÀY/THOÁI HÓA CỘT SỐNG THẮT LƯNG + CỘT SỐNG CỔ/RỐI LOẠN TIỀN ĐÌNH/MỔ SỎI THẬN</t>
  </si>
  <si>
    <t>TRƯƠNG THỊ THÚY</t>
  </si>
  <si>
    <t>049148003281</t>
  </si>
  <si>
    <t>U BÀNG QUANG/RỐI LOẠN GIẤC NGỦ ĐANG ĐIỀU TRỊ/GLOCOM HAI MẮT/MẤT NHIỀU RĂNG/CÒN NHIỀU CHÂN RĂNG</t>
  </si>
  <si>
    <t>NGUYỄN HÀ THẮNG LỰC</t>
  </si>
  <si>
    <t>26/6/1997</t>
  </si>
  <si>
    <t>049097011795</t>
  </si>
  <si>
    <t>BỆNH TIM BẨM SINH KHÔNG RÕ/BỆNH DOWN/CẬN THỊ/CÂM ĐIẾC/VIÊM NHA CHU</t>
  </si>
  <si>
    <t>NGUYỄN THỊ NIN</t>
  </si>
  <si>
    <t>049185003154</t>
  </si>
  <si>
    <t>SINH MỔ/VIỄN THỊ DO TUỔI</t>
  </si>
  <si>
    <t>NGUYỄN VY LỘC</t>
  </si>
  <si>
    <t>049057011102</t>
  </si>
  <si>
    <t>180/100</t>
  </si>
  <si>
    <t>TĂNG HUYẾT ÁP/BỆNH TIM THIẾU MÁU CỤC BỘ/MẤT NHIỀU RĂNG/VIÊM NHA CHU</t>
  </si>
  <si>
    <t>TRƯƠNG THỊ MÃI</t>
  </si>
  <si>
    <t>049160005967</t>
  </si>
  <si>
    <t>THOÁI HÓA CỘT SỐNG CỔ+ VẸO CỘT SỐNG THẮT LƯNG/MẤT NHIỀU RĂNG/CÒN NHIỀU CHÂN RĂNG</t>
  </si>
  <si>
    <t>NGUYỄN ĐÌNH NHI</t>
  </si>
  <si>
    <t>049074003893</t>
  </si>
  <si>
    <t>VIỄN THỊ/MẤT RĂNG 37, 47</t>
  </si>
  <si>
    <t>LÊ VĂN XUẤT</t>
  </si>
  <si>
    <t>17/05/1973</t>
  </si>
  <si>
    <t>049073015259</t>
  </si>
  <si>
    <t>TĂNG HUYẾT ÁP ĐANG ĐIỀU TRỊ/MẤT NGÓN III TAY TRÁI, SẸO CO RÚT NGÓN II, IV, V TAY TRÁI/MẤT RĂNG HÀM TRÊN</t>
  </si>
  <si>
    <t>NGUYỄN VĂN VĨNH</t>
  </si>
  <si>
    <t>049033004225</t>
  </si>
  <si>
    <t>175/80</t>
  </si>
  <si>
    <t>TĂNG HUYẾT ÁP ĐANG ĐIỀU TRỊ/GÚT ĐIỀU TRỊ THUỐC/THOÁI HÓA KHỚP BÀN NGÓN + CỘT SỐNG THẮT LƯNG/VIỄN THỊ/RĂNG GIẢ/VIÊM NHA CHU</t>
  </si>
  <si>
    <t>NGUYỄN TẤN TRỌNG</t>
  </si>
  <si>
    <t>049090000480</t>
  </si>
  <si>
    <t>GÃY XƯƠNG ĐÒN PHẢI ĐÃ PHẪU THUẬT/MẤT NHIỀU RĂNG</t>
  </si>
  <si>
    <t>NGUYỄN KIÊM</t>
  </si>
  <si>
    <t>049044003281</t>
  </si>
  <si>
    <t>TĂNG HUYẾT ÁP ĐANG ĐIỀU TRỊ THUỐC/YẾU 1/2 NGƯỜI TRÁI/DI CHỨNG TAI BIẾN MẠCH MÁU NÃO/PHẪU THUẬT VÙNG BỤNG KHÔNG RÕ/MẤT RĂNG 31, 41</t>
  </si>
  <si>
    <t>DOÃN THỊ QUYÊN</t>
  </si>
  <si>
    <t>20/4/1950</t>
  </si>
  <si>
    <t>049150007921</t>
  </si>
  <si>
    <t>TĂNG HUYẾT ÁP CHƯA ĐIỀU TRỊ/THOÁI HÓA CỘT SỐNG CỔ + CỘT SỐNG THẮT LƯNG/HAI MẮT LÃO THỊ/CÒN CHÂN RĂNG</t>
  </si>
  <si>
    <t>NGUYỄN VĂN CHÂU</t>
  </si>
  <si>
    <t>049037001916</t>
  </si>
  <si>
    <t>TĂNG HUYẾT ÁP KHÔNG ĐIỀU TRỊ/THOÁI HOÁ CỘT SỐNG THẮT LƯNG/NGHE KÉM/MẤT RĂNG HÀM DƯỚI</t>
  </si>
  <si>
    <t>NGUYỄN VĂN VỮNG</t>
  </si>
  <si>
    <t>049032001783</t>
  </si>
  <si>
    <t>TĂNG HUYẾT ÁP KHÔNG ĐIỀU TRỊ/THOÁI HOÁ CỘT SỐNG THẮT LƯNG/MẤT NHIỀU RĂNG</t>
  </si>
  <si>
    <t>NGÔ ĐÌNH TRƯỜNG AN</t>
  </si>
  <si>
    <t>049210007403</t>
  </si>
  <si>
    <t>SÂU RĂNG 12, 22, 46</t>
  </si>
  <si>
    <t>HUỲNH VĂN QUY</t>
  </si>
  <si>
    <t>049044003885</t>
  </si>
  <si>
    <t>YẾU 1/2 NGƯỜI PHẢI/DI CHỨNG TAI BIẾN MẠCH MÁU NÃO/MỔ SỎI THẬN PHẢI + MỔ TÚI PHÌNH NÃO/VIÊM NHA CHU</t>
  </si>
  <si>
    <t>ĐỖ THỊ THUỲ TRANG</t>
  </si>
  <si>
    <t>049311015123</t>
  </si>
  <si>
    <t>VIÊM TAI TRÁI/SÂU RĂNG 36, 46</t>
  </si>
  <si>
    <t>ĐỖ NGỌC LINH CHI</t>
  </si>
  <si>
    <t>049324000617</t>
  </si>
  <si>
    <t>049149003742</t>
  </si>
  <si>
    <t>TĂNG HUYẾT ÁP ĐANG ĐIỀU TRỊ/RỐI LOẠN TIỀN ĐÌNH/MẤT NHIỀU RĂNG</t>
  </si>
  <si>
    <t>NGUYỄN THỊ THU TRÂM</t>
  </si>
  <si>
    <t>049195016807</t>
  </si>
  <si>
    <t>ĐỘNG KINH ĐANG ĐIỀU TRỊ THUỐC THƯỜNG XUYÊN/MỔ ĐẺ 1 LẦN</t>
  </si>
  <si>
    <t>NGUYỄN THỊ LY</t>
  </si>
  <si>
    <t>HỘ CẬN NGHÈO</t>
  </si>
  <si>
    <t>049174001831</t>
  </si>
  <si>
    <t>MẤT RĂNG 26, 36, 37, 46, 47</t>
  </si>
  <si>
    <t>LÊ THỊ LIÊN</t>
  </si>
  <si>
    <t>049150008356</t>
  </si>
  <si>
    <t>MẤT RĂNG 36, 46</t>
  </si>
  <si>
    <t>MAI THỊ HẠNH</t>
  </si>
  <si>
    <t>CẮT TUYẾN GIÁP/NGHE KÉM TAI TRÁI/MẤT RĂNG 36, 37</t>
  </si>
  <si>
    <t>MAI THỊ ÁNH</t>
  </si>
  <si>
    <t>049174009403</t>
  </si>
  <si>
    <t>TĂNG HUYẾT ÁP CHƯA ĐIỀU TRỊ/VIÊM DẠ DÀY/THOÁI HOÁ CỘT SỐNG THẮT LƯNG/MỔ RUỘT THỪA/VIỄN THỊ/VIÊM HỌNG/MẤT RĂNG 36, 37, 46</t>
  </si>
  <si>
    <t>049147007609</t>
  </si>
  <si>
    <t>RỐI LOẠN TIỀN ĐÌNH/RĂNG GIẢ, CHÂN RĂNG 36</t>
  </si>
  <si>
    <t>HUỲNH THỊ NGUYỆT</t>
  </si>
  <si>
    <t>049154012750</t>
  </si>
  <si>
    <t>NGHE KÉM/VIÊM NHA CHU/MẤT RĂNG</t>
  </si>
  <si>
    <t>TRẦN VĂN TUÂN</t>
  </si>
  <si>
    <t>049092008549</t>
  </si>
  <si>
    <t>ĐÁI THÁO ĐƯỜNG ĐANG ĐIỀU TRỊ/VIÊM NHA CHU, MẤT RĂNG 13</t>
  </si>
  <si>
    <t>PHAN THỊ THIỆP</t>
  </si>
  <si>
    <t>049138005076</t>
  </si>
  <si>
    <t>200/100</t>
  </si>
  <si>
    <t>TÁO BÓN/VIÊM DẠ DÀY/MẤT NHIỀU RĂNG/CÒN CHÂN RĂNG</t>
  </si>
  <si>
    <t>LÊ THỊ HỒNG</t>
  </si>
  <si>
    <t>049169010726</t>
  </si>
  <si>
    <t>THOÁI HOÁ CỘT SỐNG THẮT LƯNG/TÊ HAI TAY + HAI CHÂN/MỔ RUỘT THỪA/MẤT NHIỀU RĂNG</t>
  </si>
  <si>
    <t>049156010967</t>
  </si>
  <si>
    <t>RỐI LOẠN TIỀN ĐÌNH/MẤT NHIỀU RĂNG/VIÊM NHA CHU</t>
  </si>
  <si>
    <t>BÙI THỊ KỂ</t>
  </si>
  <si>
    <t>049171014276</t>
  </si>
  <si>
    <t>VIÊM DẠ DÀY/RỐI LOẠN TIỀN ĐÌNH/NHÌN MỜ/NGHE KÉM/MẤT RĂNG 31, 41, 46</t>
  </si>
  <si>
    <t>049168004334</t>
  </si>
  <si>
    <t>049163008342</t>
  </si>
  <si>
    <t>RỐI LOẠN TIỀN ĐÌNH/MẤT NHIỀU RĂNG</t>
  </si>
  <si>
    <t>049172010350</t>
  </si>
  <si>
    <t>TĂNG HUYẾT CHƯA ĐIỀU TRỊ/PHẪU THUẬT TÁI TẠO DÂY CHẰNG KHỚP GỐI PHẢI/TIỀN SỬ BĂNG HUYẾT SAU SINH/MẤT RĂNG 35</t>
  </si>
  <si>
    <t>MAI VĂN QUÁ</t>
  </si>
  <si>
    <t>049072015096</t>
  </si>
  <si>
    <t>TĂNG HUYẾT ÁP ĐANG ĐIỀU TRỊ THUỐC/</t>
  </si>
  <si>
    <t>049165002021</t>
  </si>
  <si>
    <t>U XƠ TỬ CUNG ĐÃ PHẪU THUẬT/NHÌN MỜ/MẤT RĂNG 36, 46</t>
  </si>
  <si>
    <t>NGUYỄN THỊ NỶ</t>
  </si>
  <si>
    <t>049160073393</t>
  </si>
  <si>
    <t>TĂNG HUYẾT ÁP ĐANG ĐIỀU TRỊ/MỘNG THỊT MẮT PHẢI ĐÃ PHẪU THUẬT/CHÂN RĂNG 12</t>
  </si>
  <si>
    <t>NGUYỄN THỊ THÁI</t>
  </si>
  <si>
    <t>049166015617</t>
  </si>
  <si>
    <t>VIÊM GAN B/VIÊM DẠ DÀY/THOÁI HOÁ KHỚP GỐI HAI BÊN/HAI MẮT TẬT KHÚC XẠ/MẤT RĂNG 16, 36</t>
  </si>
  <si>
    <t>NGÔ CÔNG HOẠT</t>
  </si>
  <si>
    <t>049045004476</t>
  </si>
  <si>
    <t>THOÁI HOÁ CÁC KHỚP BÀN NGÓN/MẤT NHIỀU RĂNG</t>
  </si>
  <si>
    <t>MAI THỊ THANH LỘC</t>
  </si>
  <si>
    <t>049174011229</t>
  </si>
  <si>
    <t>CHÂN RĂNG 37, MẤT RĂNG 47</t>
  </si>
  <si>
    <t>28/09/2029</t>
  </si>
  <si>
    <t>ĐỖ THỊ MỸ</t>
  </si>
  <si>
    <t>049159010695</t>
  </si>
  <si>
    <t>HẬU ZONA THẦN KINH/ĐỤC THUỶ TINH THỂ/CHÂN RĂNG/MẤT RĂNG/VÔI RĂNG</t>
  </si>
  <si>
    <t>LÊ VĂN TUYÊN</t>
  </si>
  <si>
    <t>20/02/1955</t>
  </si>
  <si>
    <t>049055003519</t>
  </si>
  <si>
    <t>TĂNG HA ĐANG ĐIỀU TRỊ/HAI MẮT IOL/GIẢM THÍNH LỰC TUỔI GIÀ/MẤT RĂNG/HÀM GIẢ</t>
  </si>
  <si>
    <t>13/06/1941</t>
  </si>
  <si>
    <t>049141005088</t>
  </si>
  <si>
    <t>HO KÉO DÀI/ĐỤC THUỶ TINH THỂ/MỘNG THỊT/MẤT RĂNG TOÀN HÀM</t>
  </si>
  <si>
    <t>PHÚ ĐÔNG</t>
  </si>
  <si>
    <t>049158013684</t>
  </si>
  <si>
    <t>ĐỤC THUỶ TINH THỂ/VIÊM TAI GIỬA CẤP PHẢI/HÀM GIẢ LỎNG LẺO</t>
  </si>
  <si>
    <t>NGUYỄN THỊ MINH THẢO</t>
  </si>
  <si>
    <t>049163014029</t>
  </si>
  <si>
    <t>ĐỤC THUỶ TINH THỂ/MỘNG THỊT/MÒN CỔ RĂNG/VÔI RĂNG HAI HÀM/VIÊM NƯỚU</t>
  </si>
  <si>
    <t>NGUYỄN VĂN TÀI</t>
  </si>
  <si>
    <t>049044005640</t>
  </si>
  <si>
    <t>TĂNG HUYẾT ÁP ĐANG ĐIỀU TRỊ/ĐÁI THÁO ĐƯỜNG/ĐỤC THUỶ TINH THỂ/GIẢM THÍNH LỰC TUỔI GIÀ/CHÂN RĂNG/MÒN CỔ RĂNG</t>
  </si>
  <si>
    <t>HOÀNG THỊ NGỌC HƯNG</t>
  </si>
  <si>
    <t>049170005671</t>
  </si>
  <si>
    <t>170/200</t>
  </si>
  <si>
    <t>TĂNG HUYẾT ÁP/POLYP CỔ TỬ CUNG ĐÃ PT/MỘNG THỊT/CHÂN RĂNG/MẤT RĂNG</t>
  </si>
  <si>
    <t>NGUYỄN THỊ DIỄM HỒNG</t>
  </si>
  <si>
    <t>049152002975</t>
  </si>
  <si>
    <t>HAI MẮT ĐỤC THUỶ TINH THỂ/VIÊM XOANG MẠN/CHÂN RĂNG/MẤT RĂNG/VIÊM QUANH CHÓP/VÔI RĂNG</t>
  </si>
  <si>
    <t>DOÃN BÁ PHƯỢNG</t>
  </si>
  <si>
    <t>049060011205</t>
  </si>
  <si>
    <t>HỞ VAN 03 LÁ/TĂNG HA/MỠ MÁU/HAI MẮT ĐỤC THUỶ TINH THỂ/GIẢM THÍNH LỰC HAI BÊN/VIÊM TAI XƯƠNG CHŨM ĐÃ PT/MẤT RĂNG/MÒN CỔ NHIỀU RĂNG/CẤN HÀM</t>
  </si>
  <si>
    <t>MAI THỊ NGỌC ĐOÀN</t>
  </si>
  <si>
    <t>049166004797</t>
  </si>
  <si>
    <t>TS THOÁI HOÁ CỘT SỐNG THẮT LƯNG/SÂU RĂNG/MẤT RĂNG</t>
  </si>
  <si>
    <t>HUỲNH THỊ PHƯƠNG</t>
  </si>
  <si>
    <t>049146002795</t>
  </si>
  <si>
    <t>HAI MẮT GLOCOM ĐÃ PT/ĐỤC THUỶ TINH THỂ/CHÂN RĂNG/MẤT RĂNG/HÀM GIẢ LỎNG LẺO</t>
  </si>
  <si>
    <t>TRẦN BÍCH TRUNG</t>
  </si>
  <si>
    <t>21/10/1985</t>
  </si>
  <si>
    <t>049085010857</t>
  </si>
  <si>
    <t>THOÁT VỊ BẸN BÊN PHẢI ĐÃ PT/RĂNG MỌC KẸT/VÔI RĂNG/VIÊM NƯỚU</t>
  </si>
  <si>
    <t>049173005541</t>
  </si>
  <si>
    <t>TẬT KHÚC XẠ/VIÊM XOANG MẠN TÍNH/MẤT RĂNG/CHÂN RĂNG/VIÊM QUANH CHÓP</t>
  </si>
  <si>
    <t>UNG TẤN VƯƠNG</t>
  </si>
  <si>
    <t>26/10/1996</t>
  </si>
  <si>
    <t>049096008882</t>
  </si>
  <si>
    <t>VIÊM AMYDAL MẠN TÍNH ĐÃ PT/SÂU RĂNG/RĂNG MỌC LỆCH</t>
  </si>
  <si>
    <t>CAO THỊ KIM DƯƠNG</t>
  </si>
  <si>
    <t>30/10/1958</t>
  </si>
  <si>
    <t>049158006355</t>
  </si>
  <si>
    <t>THOÁI HOÁ ĐA KHỚP/CẮT POLYP DẠ DÀY ĐÃ PT/ĐỤC THUỶ TINH THỂ/MỘNG THỊT/GIẢM THÍNH LỰC TUỔI GIÀ/MẤT RĂNG, VIÊM QUANH CHÓP</t>
  </si>
  <si>
    <t>TRẦN THỊ VINH</t>
  </si>
  <si>
    <t>24/10/1942</t>
  </si>
  <si>
    <t>049142006278</t>
  </si>
  <si>
    <t>ĐAU CÁC KHỚP/RỐI LOẠN TIỀN ĐÌNH/ĐỤC THUỶ TINH THỂ ĐÃ PT/SÂU RĂNG/MẤT RĂNG</t>
  </si>
  <si>
    <t>NGUYỄN THỊ LẠC</t>
  </si>
  <si>
    <t>049157003202</t>
  </si>
  <si>
    <t>TĂNG HUYẾT ÁP/HAI MẮT ĐỤC THUỶ TINH THỂ/MẤT RĂNG TOÀN HÀM</t>
  </si>
  <si>
    <t>NGUYỄN THỊ BÔNG</t>
  </si>
  <si>
    <t>049155005787</t>
  </si>
  <si>
    <t>TĂNG HUYẾT ÁP/ĐỤC THUỶ TINH THỂ/VIÊM HỌNG MẠN/MẤT NHIỀU RĂNG GIẢM SỨC NHAI</t>
  </si>
  <si>
    <t>VÕ NGỌC KHANH</t>
  </si>
  <si>
    <t>20/05/1965</t>
  </si>
  <si>
    <t>049065017984</t>
  </si>
  <si>
    <t>HAI MẮT ĐỤC THUỶ TINH THỂ/MÒN CỔ RĂNG/CHÂN RĂNG</t>
  </si>
  <si>
    <t>NGUYỄN VĂN TRUNG</t>
  </si>
  <si>
    <t>27/04/2004</t>
  </si>
  <si>
    <t>049204002140</t>
  </si>
  <si>
    <t>VIÊM CẦU THẬN/ĐA SÂU RĂNG</t>
  </si>
  <si>
    <t>MAI THỊ BÍCH LIÊN</t>
  </si>
  <si>
    <t>049172004472</t>
  </si>
  <si>
    <t>110/48</t>
  </si>
  <si>
    <t>ĐỤC THUỶ TINH THỂ/SÂU NGÀ/VÔI RĂNG/VIÊM NƯỚU</t>
  </si>
  <si>
    <t>MAI THỊ VIỆN</t>
  </si>
  <si>
    <t>049149001985</t>
  </si>
  <si>
    <t>COPD/THEO DÕI ĐÁI THÁO ĐƯỜNG/MẮT TRÁI LÁC NGOÀI/HAI MẮT IOL/GIẢM THÍNH LỰC TUỔI GIÀ/MẤT RĂNG/CÒN NHIỀU CHÂN RĂNG ĐANG VIÊM</t>
  </si>
  <si>
    <t>DOÃN THỊ HƯỜNG</t>
  </si>
  <si>
    <t>049155009170</t>
  </si>
  <si>
    <t>TĂNG HUYẾT ÁP/VIÊM DẠ DÀY/ĐỤC THUỶ TINH THỂ/VIÊM QUANH CHÓP</t>
  </si>
  <si>
    <t>BÙI THỊ HỒNG</t>
  </si>
  <si>
    <t>049155008986</t>
  </si>
  <si>
    <t>ĐỤC THUỶ TINH THỂ/VIÊM HỌNG MẠN TÍNH/CHÂN RĂNG</t>
  </si>
  <si>
    <t>NGUYỄN THỊ CỮU</t>
  </si>
  <si>
    <t>20/07/1956</t>
  </si>
  <si>
    <t>049156010748</t>
  </si>
  <si>
    <t>125/113</t>
  </si>
  <si>
    <t>TĂNG HUYẾT ÁP ĐỘ III/ĐÁI THÁO ĐƯỜNG/THOÁT VỊ ĐĨA ĐỆM CỘT SỐNG THẮT LƯNG/U NANG BUỒNG TRỨNG PHẢI/ĐỤC THUỶ TINH THỂ</t>
  </si>
  <si>
    <t>NGUYỄN ĐĂNG VÂN</t>
  </si>
  <si>
    <t>049054012307</t>
  </si>
  <si>
    <t>ĐỤC THUỶ TINH THỂ/MẤT RĂNG, VÔI RĂNG</t>
  </si>
  <si>
    <t>LÊ ĐÌNH THU</t>
  </si>
  <si>
    <t>049054004415</t>
  </si>
  <si>
    <t>TĂNG HA/ĐỤC THUỶ TINH THỂ/MỘNG THỊT/CHÂN RĂNG/MÒN CỔ RĂNG/VIÊM NƯỚU/VÔI RĂNG</t>
  </si>
  <si>
    <t>NGUYỄN THỊ HÃNH</t>
  </si>
  <si>
    <t>049152003979</t>
  </si>
  <si>
    <t>THEO DÕI TĂNG HA/ĐỤC THUỶ TINH THỂ/CHÂN RĂNG, MẤT RĂNG, VIÊM NHA CHU, MÒN CỔ RĂNG</t>
  </si>
  <si>
    <t xml:space="preserve"> NGUYỄN THỊ THU TRANG</t>
  </si>
  <si>
    <t>21/08/2012</t>
  </si>
  <si>
    <t>BÍCH TÂN</t>
  </si>
  <si>
    <t>049312004940</t>
  </si>
  <si>
    <t>TRẦN THỊ KIM QUYÊN</t>
  </si>
  <si>
    <t>13/09/2011</t>
  </si>
  <si>
    <t>049311015775</t>
  </si>
  <si>
    <t>HỞ VAN 03 LÁ/TS VIÊM DẠ DÀY/MẮT PHẢI LÁC/VIÊM MŨI DỊ ỨNG</t>
  </si>
  <si>
    <t>NGUYỄN THỊ TÁM</t>
  </si>
  <si>
    <t>049173015359</t>
  </si>
  <si>
    <t>VIÊM DẠ DÀY/ĐAU KHỚP/ĐỤC THUỶ TINH THỂ/MỘNG THỊT/VIÊM HỌNG/NHIỀU RĂNG</t>
  </si>
  <si>
    <t>049170004556</t>
  </si>
  <si>
    <t>TĂNG HUYẾT ÁP/THOÁI CỘT SỐNG/ĐỤC THUỶ TINH THỂ BẮT ĐẦU</t>
  </si>
  <si>
    <t>NGUYỄN THỊ KHANH</t>
  </si>
  <si>
    <t>24/12/1947</t>
  </si>
  <si>
    <t>BÍCH AN</t>
  </si>
  <si>
    <t>049147006690</t>
  </si>
  <si>
    <t>ĐAU CÁC KHỚP/ĐỤC THUỶ TINH THỂ/MẤT RĂNG</t>
  </si>
  <si>
    <t>NGUYỄN THỊ VIÊN</t>
  </si>
  <si>
    <t>049164010409</t>
  </si>
  <si>
    <t>TĂNG HUYẾT ÁP/MẤT NHIỀU RĂNG</t>
  </si>
  <si>
    <t>NGUYỄN THỊ HIỆP</t>
  </si>
  <si>
    <t>049187007302</t>
  </si>
  <si>
    <t>VIÊM DẠ DÀY/VIÊM XOANG/MẤT RĂNG</t>
  </si>
  <si>
    <t>TRẦN THỊ CẢNH</t>
  </si>
  <si>
    <t>16/02/1954</t>
  </si>
  <si>
    <t>049154006457</t>
  </si>
  <si>
    <t>TĂNG HUYẾT ÁP/BỆNH MẠCH VÀNH/ĐỤC THUỶ TINH THỂ/NGHE KÉM/MẤT NHIỀU RĂNG</t>
  </si>
  <si>
    <t>NGUYỄN THỊ SƠN</t>
  </si>
  <si>
    <t>049166007883</t>
  </si>
  <si>
    <t>BASEDOW/ĐỤC THUỶ TINH THỂ/VIÊM XOANG/ĐAU LƯNG</t>
  </si>
  <si>
    <t>049066010900</t>
  </si>
  <si>
    <t>THOÁT VỊ BẸN ĐÃ PT/ĐỤC THUỶ TINH THỂ/MẤT NHIỀU RĂNG</t>
  </si>
  <si>
    <t>NGUYỄN VĂN NĂNG</t>
  </si>
  <si>
    <t>049064026649</t>
  </si>
  <si>
    <t>TĂNG HUYẾT ÁP/VIÊM LOÉT DẠ DÀY/ĐAU KHỚP/ĐỤC THUỶ TINH THỂ</t>
  </si>
  <si>
    <t>NGUYỄN THỊ HẠNH</t>
  </si>
  <si>
    <t>049147006677</t>
  </si>
  <si>
    <t>TĂNG HUYẾT ÁP/VIÊM ĐA KHỚP/ĐỤC THUỶ TINH THỂ</t>
  </si>
  <si>
    <t>049146002646</t>
  </si>
  <si>
    <t>ĐỤC THUỶ TINH THỂ/MẤT NHIỀU RĂNG/VIÊM TAI GIỮA</t>
  </si>
  <si>
    <t>NGUYỄN THỊ MIÊN</t>
  </si>
  <si>
    <t>049157008498</t>
  </si>
  <si>
    <t>ĐỤC THUỶ TINH THỂ/BƯỚU GIÁP/ĐAU KHỚP</t>
  </si>
  <si>
    <t>049154004462</t>
  </si>
  <si>
    <t>TĂNG HA/ĐẶT MÁY TẠO NHỊP/MỘNG THỊT/GIẢM THÍNH LỰC HAI TAI</t>
  </si>
  <si>
    <t>TRẦN XUÂN THÁI</t>
  </si>
  <si>
    <t>049064001713</t>
  </si>
  <si>
    <t>138/86</t>
  </si>
  <si>
    <t>MẤT THỊ LỰC MẮT TRÁI/VÔI RĂNG/VIÊM NƯỚU NHIỀU RĂNG</t>
  </si>
  <si>
    <t>NGUYỄN VĂN TƯỜNG</t>
  </si>
  <si>
    <t>049062014781</t>
  </si>
  <si>
    <t>MẤT RĂNG HAI HÀM/GÃY CÁNH TAY TRÁI/ĐỤC THUỶ TINH THỂ ĐÃ PHẪU THUẬT</t>
  </si>
  <si>
    <t>NGÔ CÔNG QUÝ</t>
  </si>
  <si>
    <t>049071014608</t>
  </si>
  <si>
    <t>ĐẶT STENT MẠCH VÀNH</t>
  </si>
  <si>
    <t>TRẦN THỊ PHÚ</t>
  </si>
  <si>
    <t>049155005156</t>
  </si>
  <si>
    <t>180/80</t>
  </si>
  <si>
    <t>ĐỤC THUỶ TINH THỂ/VIÊM MŨI DỊ ỨNG</t>
  </si>
  <si>
    <t>HUỲNH NAM</t>
  </si>
  <si>
    <t>049059004203</t>
  </si>
  <si>
    <t>137/77</t>
  </si>
  <si>
    <t>TĂNG HUYẾT ÁP ĐANG ĐIỀU TRỊ/VIÊM NƯỚU/ĐA CÁC KHỚP/PT CẮT RUỘT THỪA</t>
  </si>
  <si>
    <t>TRẦN NGỌC LONG</t>
  </si>
  <si>
    <t>049040005412</t>
  </si>
  <si>
    <t>158/89</t>
  </si>
  <si>
    <t>ĐỤC THUỶ TINH THỂ/MẤT THÍNH LỰC TAI TRÁI</t>
  </si>
  <si>
    <t>ĐỖ THỊ NHỊ</t>
  </si>
  <si>
    <t>20/04/1959</t>
  </si>
  <si>
    <t>049159010654</t>
  </si>
  <si>
    <t>159/78</t>
  </si>
  <si>
    <t>ĐỤC THUỶ TINH THỂ/HẸP VAN TIM/MỔ BẮT CẦU NỐI</t>
  </si>
  <si>
    <t>NGUYỄN PHÚC</t>
  </si>
  <si>
    <t>20/08/1964</t>
  </si>
  <si>
    <t>049064022939</t>
  </si>
  <si>
    <t>TẬT KHÚC XẠ/VIÊM NƯỚU</t>
  </si>
  <si>
    <t>TRẦN MINH ĐẠI</t>
  </si>
  <si>
    <t>23/12/2000</t>
  </si>
  <si>
    <t>049200006648</t>
  </si>
  <si>
    <t>TẬT KHÚC XẠ/VÔI RĂNG</t>
  </si>
  <si>
    <t>NGUYỄN THỊ KIỀU MỸ</t>
  </si>
  <si>
    <t>16/10/1996</t>
  </si>
  <si>
    <t>049196016096</t>
  </si>
  <si>
    <t>110/76</t>
  </si>
  <si>
    <t>TẬT KHÚC XẠ/VIÊM NƯỚU RĂNG</t>
  </si>
  <si>
    <t>TRƯƠNG HỒ THU SƯƠNG</t>
  </si>
  <si>
    <t>22/10/2004</t>
  </si>
  <si>
    <t>049304011146</t>
  </si>
  <si>
    <t>PHẪU THUẬT CẮT RUỘT THỪA</t>
  </si>
  <si>
    <t>PHẠM NGUYỄN HOÀI NHÂN</t>
  </si>
  <si>
    <t>20/02/2004</t>
  </si>
  <si>
    <t>049304000497</t>
  </si>
  <si>
    <t>127/78</t>
  </si>
  <si>
    <t>KINH NGUYỆT THƯA/CẬN THỊ</t>
  </si>
  <si>
    <t>LÊ ĐỨC DŨNG</t>
  </si>
  <si>
    <t>24/01/2004</t>
  </si>
  <si>
    <t>049204006774</t>
  </si>
  <si>
    <t>113/60</t>
  </si>
  <si>
    <t>NỐI GÂN GẤP NGÓN 3, 4 BÀN TAY TRÁI, GÂN GỐI TRÁI</t>
  </si>
  <si>
    <t>HUỲNH THỊ VI</t>
  </si>
  <si>
    <t>049197004259</t>
  </si>
  <si>
    <t>MẤT NHIỀU RĂNG HÀM DƯỚI/VIÊM NƯỚU RĂNG</t>
  </si>
  <si>
    <t>LÊ THỊ THU</t>
  </si>
  <si>
    <t>049154009587</t>
  </si>
  <si>
    <t>K ĐẠI TRÀNG ĐÃ PT</t>
  </si>
  <si>
    <t>SỎI THẬN TRÁI ĐÃ PT</t>
  </si>
  <si>
    <t>NGÔ THUẤN</t>
  </si>
  <si>
    <t>049052007859</t>
  </si>
  <si>
    <t>149/86</t>
  </si>
  <si>
    <t>TĂNG HUYẾT ÁP/THOÁI HOÁ CỘT SỐNG/ĐỤC THUỶ TINH THỂ ĐÃ PT</t>
  </si>
  <si>
    <t>THÁI THỊ LỢI</t>
  </si>
  <si>
    <t>20/05/1964</t>
  </si>
  <si>
    <t>049164001239</t>
  </si>
  <si>
    <t>TĂNG HUYẾT ÁP/GÃY CẲNG TAY TRÁI/SINH MỔ 1 LẦN</t>
  </si>
  <si>
    <t>NGÔ MINH TUẤN</t>
  </si>
  <si>
    <t>049052008435</t>
  </si>
  <si>
    <t>TĂNG HUYẾT ÁP/MẤT RĂNG HÀM DƯỚI/MẮT TRÁI HỎNG</t>
  </si>
  <si>
    <t>NGUYỄN TẤN TRIỂN</t>
  </si>
  <si>
    <t>22/10/1942</t>
  </si>
  <si>
    <t>030042007113</t>
  </si>
  <si>
    <t>MẤT RĂNG HAI HÀM</t>
  </si>
  <si>
    <t>TRƯƠNG THỊ MINH</t>
  </si>
  <si>
    <t>15/04/1962</t>
  </si>
  <si>
    <t>049162009230</t>
  </si>
  <si>
    <t>162/100</t>
  </si>
  <si>
    <t>TĂNG HUYẾT ÁP/TẬT KHÚC XẠ</t>
  </si>
  <si>
    <t>TRẦN THỊ KHÁI</t>
  </si>
  <si>
    <t>049143005929</t>
  </si>
  <si>
    <t>TĂNG HUYẾT ÁP/BỆNH TIM THIẾU MÁU CỤC BỘ/ĐỤC THUỶ TINH THỂ MẮT PHẢI</t>
  </si>
  <si>
    <t>NGUYỄN VĂN HÀ</t>
  </si>
  <si>
    <t>049065007951</t>
  </si>
  <si>
    <t>143/100</t>
  </si>
  <si>
    <t>TĂNG HUYẾT ÁP/THOÁI HOÁ KHỚP GỐI HAI BÊN/MẤT NHIỀU RĂNG HÀM DƯỚI</t>
  </si>
  <si>
    <t>UNG DUY HÙNG</t>
  </si>
  <si>
    <t>049050005725</t>
  </si>
  <si>
    <t>TỐT</t>
  </si>
  <si>
    <t>049160</t>
  </si>
  <si>
    <t>TĂNG HUYẾT ÁP/SỎI TÚI MẬT/NHÂN TUYẾN GIÁP/ĐỤC THUỶ TINH THỂ/MỘNG THỊT</t>
  </si>
  <si>
    <t>049144004599</t>
  </si>
  <si>
    <t>133/64</t>
  </si>
  <si>
    <t>THOÁI HOÁ KHỚP GỐI/MỔ RUỘT THỪA/MẤT RĂNG TOÀN HÀM/MANG HÀM THÁO LẮP/ĐỤC THUỶ TINH THỂ</t>
  </si>
  <si>
    <t>LÊ VĂN BA</t>
  </si>
  <si>
    <t>049062012065</t>
  </si>
  <si>
    <t>TĂNG HUYẾT ÁP/RỐI LOẠN LIPID MÁU/ĐÁI THÁO ĐƯỜNG/HAI MẮT ĐỤC THUỶ TINH THỂ</t>
  </si>
  <si>
    <t>TRẦN THỊ BÍCH HÀ</t>
  </si>
  <si>
    <t>049169014660</t>
  </si>
  <si>
    <t>134/99</t>
  </si>
  <si>
    <t>HẸO ĐỘNG MẠCH VÀNH/TRÀO NGƯỢC DẠ DÀY THỰC QUẢN/VIÊM ĐẠI TRÀNG/RỐI LOẠN LIPID MÁU/TS U NANG BUỒNG TRỨNG/TẬT KHÚC XẠ</t>
  </si>
  <si>
    <t>049171012797</t>
  </si>
  <si>
    <t>104/75</t>
  </si>
  <si>
    <t>ĐÁI THÁO ĐƯỜNG/MỔ RUỘT THỪA/ĐỤC THUỶ TINH THỂ/MẤT RĂNG</t>
  </si>
  <si>
    <t>20/01/1969</t>
  </si>
  <si>
    <t>049069014813</t>
  </si>
  <si>
    <t>TĂNG HA/VIÊM XOANG/HAI MẮT ĐỤC THỦY TINH THỂ/MẤT RĂNG</t>
  </si>
  <si>
    <t>VÕ THỊ XUÂN</t>
  </si>
  <si>
    <t>049152</t>
  </si>
  <si>
    <t>TRÀO NGƯỢC DẠ DÀY- THỰC QUẢN/HAI MẮT IOL/MẤT RĂNG TOÀN HÀM</t>
  </si>
  <si>
    <t>NGUYỄN THỊ CƠ</t>
  </si>
  <si>
    <t>049162004888</t>
  </si>
  <si>
    <t>RỐI LOẠN TIỀN ĐÌNH/HAI MẮT ĐỤC THỦY TINH THỂ/MẤT NHIỀU RĂNG MANG HÀM THÁO LẮP</t>
  </si>
  <si>
    <t>TRẦN THỊ NGHĨ</t>
  </si>
  <si>
    <t>049177010704</t>
  </si>
  <si>
    <t>138/75</t>
  </si>
  <si>
    <t>HAI MẮT ĐỤC THỦY TINH THỂ/MẤT RĂNG/SINH MỔ HAI LẦN</t>
  </si>
  <si>
    <t>TRẦN THÀNH LONG</t>
  </si>
  <si>
    <t>049082021290</t>
  </si>
  <si>
    <t>TẤT KHÚC XẠ/MẤT RĂNG</t>
  </si>
  <si>
    <t>VÕ THỊ THANH XUÂN</t>
  </si>
  <si>
    <t>049146</t>
  </si>
  <si>
    <t>141/75</t>
  </si>
  <si>
    <t>TĂNG HUYẾT ÁP/THOÁI HÓA CỘT SỐNG THẮT LƯNG/GÃY XƯƠNG ĐÙI TRÁI ĐÃ PT/GIẢM THÍNH LỰC/VIÊM XOANG MẠN/HAI MẮT ĐỤC THỦY TINH</t>
  </si>
  <si>
    <t>NGUYỄN VĂN HẢI</t>
  </si>
  <si>
    <t>049055</t>
  </si>
  <si>
    <t>SỎI THẬN PHẢI/THOÁI HÓA CỘT SỐNG THẮT LƯNG/HAI MẮT ĐỤC THỦY TINH THỂ/VIÊM MŨI DỊ ỨNG/MẤT NHIỀU RĂNG</t>
  </si>
  <si>
    <t>049149</t>
  </si>
  <si>
    <t>HAI MẮT IOL/MẤT NHIỀU RĂNG MANG HÀM THÁO LẮP/TS MỔ RUỘT THỪA</t>
  </si>
  <si>
    <t>PHẠM THỊ HUỆ</t>
  </si>
  <si>
    <t>049155014013</t>
  </si>
  <si>
    <t>TĂNG HUYẾT ÁP/BƯỚU GIÁP ĐÃ PY/TRĨ ĐÃ PT/MẤT NHIỀU RAWG MANG HÀM THÁO LẮP/HAI MẮT ĐỤC THỦY TINH THỂ</t>
  </si>
  <si>
    <t>PHAN THỊ THÚY VÂN</t>
  </si>
  <si>
    <t>30/12/1982</t>
  </si>
  <si>
    <t>049182004479</t>
  </si>
  <si>
    <t>116/84</t>
  </si>
  <si>
    <t>TS HEN PHẾ QUẢN/MỔ THOÁT VỊ BẸN/VIÊM XOANG/MẤT RĂNG/TẬT KHÚC XẠ</t>
  </si>
  <si>
    <t>NGUYỄN THANH DŨNG</t>
  </si>
  <si>
    <t>049078015480</t>
  </si>
  <si>
    <t>106/66</t>
  </si>
  <si>
    <t>NGUYỄN VĂN NĂM</t>
  </si>
  <si>
    <t>21/11/1967</t>
  </si>
  <si>
    <t>049067013651</t>
  </si>
  <si>
    <t>152/98</t>
  </si>
  <si>
    <t>TĂNG HUYẾT ÁP/HAI MẮT ĐỤC THỦY TINH THỂ BẮT ĐẦU/MẤT RĂNG</t>
  </si>
  <si>
    <t>LÊ THỊ HIỆP</t>
  </si>
  <si>
    <t>16/01/1953</t>
  </si>
  <si>
    <t>049153002723</t>
  </si>
  <si>
    <t>TĂNG HUYẾT ÁP/CHÓNG MẶT KỊCH PHÁT LÀNH TÍNH/ĐỤC THỦY TINH THỂ/MẤT NHIỀU RĂNG HAI HÀM</t>
  </si>
  <si>
    <t>NGUYỄN THỊ TRI</t>
  </si>
  <si>
    <t>049158012169</t>
  </si>
  <si>
    <t>154/96</t>
  </si>
  <si>
    <t>TĂNG HUYẾT ÁP/TRÀO NGƯỢC DẠ DÀY  THỰC QUẢN/RỐI LOẠN TIỀN ĐÌNH/TS PT U MỠ/THOÁI HÓA CỘT SỐNG THẮT LƯNG/ĐỤC THỦY TINH THỂ/MẤT RĂNG</t>
  </si>
  <si>
    <t>16/06/1933</t>
  </si>
  <si>
    <t>049133002143</t>
  </si>
  <si>
    <t>113/72</t>
  </si>
  <si>
    <t>TĂNG HUYẾT ÁP/MẮT PHẢI ĐỤC THỦY TINH THỂ/MẮT TRÁI IOL/VIÊM HỌNG MẠN/MẤT RĂNG TOÀN HÀM</t>
  </si>
  <si>
    <t>LƯƠNG THỊ LÝ</t>
  </si>
  <si>
    <t>049169020451</t>
  </si>
  <si>
    <t>158/102</t>
  </si>
  <si>
    <t>TĂNG HUYẾT ÁP/TRÀO NGƯỢC DẠ DÀY - THỰC QUẢN/TẬT KHÚC XẠ</t>
  </si>
  <si>
    <t>049168010617</t>
  </si>
  <si>
    <t>147/86</t>
  </si>
  <si>
    <t>TĂNG HUYẾT ÁP/GAN NHIỄM MỠ NHẸ/NANG TUYẾN GIÁP/HAI MẮT ĐỤC THỦY TINH THỂ BẮT ĐẦU/MẤT RĂNG</t>
  </si>
  <si>
    <t>049167008236</t>
  </si>
  <si>
    <t>133/87</t>
  </si>
  <si>
    <t>HEN PHẾ QUẢN/ĐÁI THÁO ĐƯỜNG/VIÊM DA DỊ ỨNG/HAI MẮT ĐỤC THỦY TINH THỂ/VIÊM TAI GIỮA TRÁI/VIÊM XOANG/NHIỀU CHÂN RĂNG</t>
  </si>
  <si>
    <t>NGUYỄN THỊ PHÚ</t>
  </si>
  <si>
    <t>049170017100</t>
  </si>
  <si>
    <t>TS MỔ RUỘT THỪA/MẤT RĂNG/TẬT KHÚC XẠ</t>
  </si>
  <si>
    <t>TRẦN THỊ BÈ</t>
  </si>
  <si>
    <t>16/02/1944</t>
  </si>
  <si>
    <t>049144003155</t>
  </si>
  <si>
    <t>YẾU TỨ CHI/MẮT TRÁI ĐỤC THỦY TINH THỂ</t>
  </si>
  <si>
    <t>NGUYỄN THỊ LINH</t>
  </si>
  <si>
    <t>20/10/1982</t>
  </si>
  <si>
    <t>049182009278</t>
  </si>
  <si>
    <t>NGUYỄN HÒA</t>
  </si>
  <si>
    <t>15/04/1936</t>
  </si>
  <si>
    <t>049036002111</t>
  </si>
  <si>
    <t>TĂNG HUYẾT ÁP/MỔ HỞ XƯƠNG CHẬU/HAI MẮT ĐỤC THỦY TINH THỂ</t>
  </si>
  <si>
    <t>NGUYỄN THỊ THANH TUYỀN</t>
  </si>
  <si>
    <t>20/02/1971</t>
  </si>
  <si>
    <t>049171005897</t>
  </si>
  <si>
    <t>THOÁT VỊ ĐĨA ĐỆM CỘT SỐNG THẮT LƯNG/VIÊM KHỚP</t>
  </si>
  <si>
    <t>TRỊNH THỊ HÀ</t>
  </si>
  <si>
    <t>20/03/1970</t>
  </si>
  <si>
    <t>0905683409</t>
  </si>
  <si>
    <t>049170016973</t>
  </si>
  <si>
    <t>049146004524</t>
  </si>
  <si>
    <t>TĂNG HUYẾT ÁP/ĐÁI THÁO ĐƯỜNG/ĐỤC THỦY TINH THỂ</t>
  </si>
  <si>
    <t>TRẦN VĂN KHÁNH</t>
  </si>
  <si>
    <t>049040003655</t>
  </si>
  <si>
    <t>LÃO THỊ/NGHE KÉM TUỔI GIÀ</t>
  </si>
  <si>
    <t>NGUYỄN THỊ LĨNH</t>
  </si>
  <si>
    <t>049150014017</t>
  </si>
  <si>
    <t>DI CHỨNG TAI BIẾN MẠCH MÁU NÃO/YẾU 1/2 NGƯỜI TRÁI/ĐỤC THỦY TINH THỂ ĐÃ PT/MẤT NHIỀU RĂNG</t>
  </si>
  <si>
    <t>TRƯƠNG THỊ VÂN</t>
  </si>
  <si>
    <t>049147005069</t>
  </si>
  <si>
    <t>VIÊM ĐA KHỚP/HẠN CHẾ VẬN ĐỘNG/TĂNG HUYẾT ÁP/MẤT NHIỀU RĂNG</t>
  </si>
  <si>
    <t>13/05/1947</t>
  </si>
  <si>
    <t>049147003914</t>
  </si>
  <si>
    <t>130/800</t>
  </si>
  <si>
    <t>TĂNG HUYẾT ÁP/YẾU 1/2 NGƯỜI TRÁI/ĐỤC THỦY TINH THỂ/GIẢM THÍNH LỰC</t>
  </si>
  <si>
    <t>MAI THỊ TRUYỀN</t>
  </si>
  <si>
    <t>049175012515</t>
  </si>
  <si>
    <t>TRẦN THỊ THANH TRỊ</t>
  </si>
  <si>
    <t>28/11/1944</t>
  </si>
  <si>
    <t>049044003674</t>
  </si>
  <si>
    <t>TĂNG HUYẾT ÁP/YẾU TỨ CHI/ĐỤC THỦY TINH THỂ/NGHE KÉM/MẤT NHIỀU RĂNG HAI HÀM</t>
  </si>
  <si>
    <t>049146003879</t>
  </si>
  <si>
    <t>TĂNG HUYẾT ÁP/VIÊM DẠ DÀY/ĐỤC THỦY TINH THỂ ĐÃ PT</t>
  </si>
  <si>
    <t>TRẦN VĂN THÀNH</t>
  </si>
  <si>
    <t>049068012457</t>
  </si>
  <si>
    <t>VIÊM KHỚP</t>
  </si>
  <si>
    <t>TRẦN MINH GIÁP</t>
  </si>
  <si>
    <t>054533357</t>
  </si>
  <si>
    <t>049076025370</t>
  </si>
  <si>
    <t>130/50</t>
  </si>
  <si>
    <t>CAO VĂN ĐƯỢC</t>
  </si>
  <si>
    <t>24/04/1965</t>
  </si>
  <si>
    <t>049065009045</t>
  </si>
  <si>
    <t>TĂNG HUYẾT ÁP/THOÁT VỊ ĐĨA ĐỆM CỘT SỐNG THẮT LƯNG/TẬT KHÚC XẠ/VIÊM MŨI DỊ ỨNG/VẸO VÁCH NGĂN</t>
  </si>
  <si>
    <t>TRẦN KHÁNH</t>
  </si>
  <si>
    <t>049067013210</t>
  </si>
  <si>
    <t>TĂNG HUYẾT ÁP/ĐAU DẠ DÀY/MẤT RĂNG/TẬT KHÚC XẠ</t>
  </si>
  <si>
    <t>TRẦN VĂN KHANH</t>
  </si>
  <si>
    <t>20/10/1948</t>
  </si>
  <si>
    <t>049048001770</t>
  </si>
  <si>
    <t>STENT MẠCH VÀNH/MẮT PHẢI MỘNG THỊT</t>
  </si>
  <si>
    <t>15/12/1953</t>
  </si>
  <si>
    <t>049153003363</t>
  </si>
  <si>
    <t>TĂNG HUYẾT ÁP/THOÁI HÓA CỘT SỐNG/MẤT NHIỀU RĂNG</t>
  </si>
  <si>
    <t>NGUYỄN THỊ TÙNG</t>
  </si>
  <si>
    <t>049157011389</t>
  </si>
  <si>
    <t>VIÊM KHỚP GỐI/MẤT RĂNG</t>
  </si>
  <si>
    <t>NGUYỄN THỊ THUẬN</t>
  </si>
  <si>
    <t>20/12/1951</t>
  </si>
  <si>
    <t>049151002941</t>
  </si>
  <si>
    <t>TĂNG HUYẾT ÁP KHÔNG ĐIỀU TRỊ/MỔ RUỘT THỪA/ĐỤC THỦY TINH THỂ</t>
  </si>
  <si>
    <t>NGUYỄN TẤN BIẾN</t>
  </si>
  <si>
    <t>049032003569</t>
  </si>
  <si>
    <t>ĐAU CÁC KHỚP/TS MẮT TRÁI ĐỤC THỦY TINH THỂ ĐÃ PT/MẤT RĂNG</t>
  </si>
  <si>
    <t>NGUYỄN TRUYỀN</t>
  </si>
  <si>
    <t>049044002596</t>
  </si>
  <si>
    <t>TĂNG HUYẾT ÁP/SUY TIM ĐANG ĐIỀU TRỊ/ĐAU CÁC KHỚP/YẾU 1/2 NGƯỜI TRÁI SAU TAI BIẾN MẠCH MÁU NÃO/ĐỤC THỦY TINH THỂ/MẤT RĂNG</t>
  </si>
  <si>
    <t>TRẦN THỊ BÔNG</t>
  </si>
  <si>
    <t>049164003578</t>
  </si>
  <si>
    <t>TĂNG HUYẾT ÁP/TRÀO NGƯỢC DẠ DÀY  THỰC QUẢN/MỔ LẤY THAI 1 LẦN/MẤT RĂNG</t>
  </si>
  <si>
    <t>NGUYỄN VĂN ĐÀO</t>
  </si>
  <si>
    <t>049058010471</t>
  </si>
  <si>
    <t>VIÊM DA TIẾP XÚC/MẤT NHIỀU RĂNG</t>
  </si>
  <si>
    <t>LÊ THỊ ÁI</t>
  </si>
  <si>
    <t>049147003106</t>
  </si>
  <si>
    <t>GÃY CẲNG TAY TRÁI/GÃY XƯƠNG ĐÙI TRÁI/NỨT KHỚP HÁNG/HAI MẮT ĐỤC THỦY TINH THỂ</t>
  </si>
  <si>
    <t>TRẦN THỊ XUÂN LÝ</t>
  </si>
  <si>
    <t>049174009229</t>
  </si>
  <si>
    <t>ĐAU KHỚP CỔ TAY, NGÓN TAY</t>
  </si>
  <si>
    <t>TRẦN VĂN CHINH</t>
  </si>
  <si>
    <t>29/10/1979</t>
  </si>
  <si>
    <t>0382957787</t>
  </si>
  <si>
    <t>049079016751</t>
  </si>
  <si>
    <t>ĐẶNG THỊ HIỂN</t>
  </si>
  <si>
    <t>27/05/1977</t>
  </si>
  <si>
    <t>0354533357</t>
  </si>
  <si>
    <t>049177013514</t>
  </si>
  <si>
    <t>VIỂM KHỚP/MẤT RĂNG</t>
  </si>
  <si>
    <t>TRẦN THỊ DUNG</t>
  </si>
  <si>
    <t>0393224205</t>
  </si>
  <si>
    <t>049167011775</t>
  </si>
  <si>
    <t>HỞ VAN 3 LÁ/ĐAU CÁC KHỚP NGÓN TAY/HAI MẮT ĐỤC THỦY TINH THỂ/MẤT NHIỀU RĂNG, RĂNG GIẢ</t>
  </si>
  <si>
    <t>NGUYỄN THÀNH TÂM</t>
  </si>
  <si>
    <t>20/08/1976</t>
  </si>
  <si>
    <t>049076019117</t>
  </si>
  <si>
    <t>GAN NHIỄM MỠ/MẤT RĂNG</t>
  </si>
  <si>
    <t>NGUYỄN THỊ HÀ</t>
  </si>
  <si>
    <t>049177010796</t>
  </si>
  <si>
    <t>TĂNG HUYẾT ÁP/GAN NHIỄM MỠ/RĂNG GIẢ HÀM TRÊN</t>
  </si>
  <si>
    <t>0373362411</t>
  </si>
  <si>
    <t>049174004732</t>
  </si>
  <si>
    <t>VIÊM KHỚP/CHÂN RĂNG</t>
  </si>
  <si>
    <t>NGUYỄN THỊ DUNG</t>
  </si>
  <si>
    <t>20/02/1952</t>
  </si>
  <si>
    <t>049152012303</t>
  </si>
  <si>
    <t>TĂNG HUYẾT ÁP/LOÉT DẠ DÀY/THOÁI HÓA CỘT SỐNG THẮT LƯNG/MỔ CẮT TUYẾN GIÁP/MỔ BÓC U NANG BUỒNG TRỨNG/U XƠ TỬ CUNG/TẬT KHÚC XẠ/MẤT NHIỀU RĂNG</t>
  </si>
  <si>
    <t>27/05/1958</t>
  </si>
  <si>
    <t>0377203858</t>
  </si>
  <si>
    <t>049158008623</t>
  </si>
  <si>
    <t>TĂNG HUYẾT ÁP/NHÂN GIÁP PHẢI/ĐAU CÁC KHỚP/MỔ U XƠ TỬ CUNG/CẮT TỬ CUNG TOÀN PHẦN/ĐỤC THỦY TINH THỂ/NGHE KÉM/MẤT NHIỀU RĂNG</t>
  </si>
  <si>
    <t>NGUYỄN THỊ MINH TÂM</t>
  </si>
  <si>
    <t>049173015145</t>
  </si>
  <si>
    <t>GÃY XƯƠNG ĐÒN PHẢI/MẤT RĂNG</t>
  </si>
  <si>
    <t>NGUYỄN BÌNH</t>
  </si>
  <si>
    <t>20/03/1965</t>
  </si>
  <si>
    <t>049065020854</t>
  </si>
  <si>
    <t>TĂNG HUYẾT ÁP/VIÊM BÀNG QUANG/MẮT TRÁI MỘNG THỊT</t>
  </si>
  <si>
    <t>TÔ VĂN ĐÀO</t>
  </si>
  <si>
    <t>049065014265</t>
  </si>
  <si>
    <t>NGÔ VĂN SANG</t>
  </si>
  <si>
    <t>28/02/1965</t>
  </si>
  <si>
    <t>0772438141</t>
  </si>
  <si>
    <t>049065011607</t>
  </si>
  <si>
    <t>TĂNG HUYẾT ÁP/MẤT RĂNG HAI HÀM</t>
  </si>
  <si>
    <t>HUỲNH THỊ HÒA</t>
  </si>
  <si>
    <t>049152006328</t>
  </si>
  <si>
    <t>TS THIẾU MÁU CƠ TIM CỤC BỘ/TĂNG HUYẾT ÁP/ĐAU CÁC KHỚP/TS GÃY XƯƠNG CẲNG TAY TRÁI/MỘNG THỊT/ĐỤC THỦY TINH THỂ/MẤT RĂNG HAI HÀM</t>
  </si>
  <si>
    <t>NGÔ TẤN TIẾN</t>
  </si>
  <si>
    <t>049064019788</t>
  </si>
  <si>
    <t>K THANH QUẢN ĐÃ PT/VIÊM NƯỚU/VÔI RĂNG</t>
  </si>
  <si>
    <t>049154012629</t>
  </si>
  <si>
    <t>RỐI LOẠN GIẤC NGỦ/TẬT KHÚC XẠ/MẤT NHIỀU RĂNG</t>
  </si>
  <si>
    <t>NGUYỄN THỊ PHƯỢNG</t>
  </si>
  <si>
    <t>049164015616</t>
  </si>
  <si>
    <t>TĂNG HUYẾT ÁP ĐANG ĐIỀU TRỊ/ĐÁI THÁO ĐƯỜNG/MẤT NHIỀU RĂNG</t>
  </si>
  <si>
    <t>NGUYỄN VĂN THẾ</t>
  </si>
  <si>
    <t>049060001073</t>
  </si>
  <si>
    <t>TẬT KHÚC XẠ/MẤT NHIỀU RĂNG</t>
  </si>
  <si>
    <t>VÕ THỊ TƯƠNG</t>
  </si>
  <si>
    <t>049161006580</t>
  </si>
  <si>
    <t>TĂNG HUYẾT ÁP/VIÊM DẠ DÀY/ĐÁO THÁO ĐƯỜNG/THOÁT VỊ ĐĨA ĐỆM/MẮT PHẢI VIÊM BỜ MI/CAO RĂNG</t>
  </si>
  <si>
    <t>NGUYỄN THỊ CHÚC</t>
  </si>
  <si>
    <t>049164013962</t>
  </si>
  <si>
    <t>TĂNG HUYẾT ÁP/THOÁI HÓA KHỚP HÁNG/TẬT KHÚC XẠ/MẤT RĂNG</t>
  </si>
  <si>
    <t>PHAN THỊ THU THẠCH</t>
  </si>
  <si>
    <t>049172012092</t>
  </si>
  <si>
    <t>VIÊM KẾT MẠC/MẤT NHIỀU RĂNG</t>
  </si>
  <si>
    <t>TRẦN NGỌC KHANH</t>
  </si>
  <si>
    <t>049039003862</t>
  </si>
  <si>
    <t>133/69</t>
  </si>
  <si>
    <t>ĐỤC THỦY TINH THỂ/NGHE KÉM/MẤT NHIỀU RĂNG</t>
  </si>
  <si>
    <t>049140005444</t>
  </si>
  <si>
    <t>TĂNG HUYẾT ÁP/ĐAU CÁC KHỚP/TS HAI MẮT ĐỤC THỦY TINH THỂ ĐÃ PT/MẤT NHIỀU RĂNG</t>
  </si>
  <si>
    <t>TRƯƠNG THỊ THANH NGA</t>
  </si>
  <si>
    <t>20/06/1952</t>
  </si>
  <si>
    <t>049152008398</t>
  </si>
  <si>
    <t>TĂNG HUYẾT ÁP/ĐAU CÁC KHỚP/MỔ LẤY THAI 1 LẦN/ĐỤC THỦY TINH THỂ/VIÊM HỌNG MẠN TÍNH/MẤT NHIỀU RĂNG</t>
  </si>
  <si>
    <t>NGUYỄN TRUNG</t>
  </si>
  <si>
    <t>049063010580</t>
  </si>
  <si>
    <t>145/100</t>
  </si>
  <si>
    <t>LOÉT DẠ DÀY/ĐAU CÁC KHỚP/MỔ THAY KHỚP HÁNG HAI BÊN/ĐỤC THỦY TINH THỂ ĐÃ PT</t>
  </si>
  <si>
    <t>HỒ THỊ TỚI</t>
  </si>
  <si>
    <t>049180016377</t>
  </si>
  <si>
    <t>VIÊM LOÉT DẠ DÀY DO HP/MỔ CẮT TỬ CUNG DO NHÂN XƠ TỬ CUNG/MẤT RĂNG</t>
  </si>
  <si>
    <t>NGUYỄN VĂN KHỞI</t>
  </si>
  <si>
    <t>049055002662</t>
  </si>
  <si>
    <t>CHÂN TRÁI NGẮN HƠN CHÂN PHẢI/MẮT PHẢI MỘNG THỊT/NGHE KÉM/MẤT NHIỀU RĂNG</t>
  </si>
  <si>
    <t>NGUYỄN TẬP</t>
  </si>
  <si>
    <t>049068015830</t>
  </si>
  <si>
    <t>TĂNG HUYẾT ÁP KHÔNG ĐIỀU TRỊ/MẤT NHIỀU RĂNG</t>
  </si>
  <si>
    <t>NGUYỄN VĂN XANH</t>
  </si>
  <si>
    <t>049056010639</t>
  </si>
  <si>
    <t>TĂNG HUYẾT ÁP/TRĨ ĐỘ III/MẤT RĂNG</t>
  </si>
  <si>
    <t>NGUYỄN VĂN LINH</t>
  </si>
  <si>
    <t>049040</t>
  </si>
  <si>
    <t>TĂNG HUYẾT ÁP/ĐAU CÁC KHỚP/ĐỤC THỦY TINH THỂ/MẤT NHIỀU RĂNG</t>
  </si>
  <si>
    <t>DOÃN THỊ HOÀNG</t>
  </si>
  <si>
    <t>049147004381</t>
  </si>
  <si>
    <t>TĂNG HUYẾT ÁP/ĐỤC THỦY TINH THỂ/MẤT NHIỀU RĂNG</t>
  </si>
  <si>
    <t>NGUYỄN XUÂN THI</t>
  </si>
  <si>
    <t>15/02/1940</t>
  </si>
  <si>
    <t>049040003685</t>
  </si>
  <si>
    <t>TĂNG HUYẾT ÁP/ĐAU CÁC KHỚP/MỔ RUỘT THỪA/MỘNG THỊT MẮT PHẢI/MẤT NHIỀU RĂNG</t>
  </si>
  <si>
    <t>TRẦN THỊ DỰ</t>
  </si>
  <si>
    <t>24/03/1953</t>
  </si>
  <si>
    <t>049153007296</t>
  </si>
  <si>
    <t>160/70</t>
  </si>
  <si>
    <t>TĂNG HUYẾT ÁP/VIÊM DẠ DÀY/ĐÁI THÁO ĐƯỜNG/RỐI LOẠN GIẤC NGỦ/TS GÃY XƯƠNG CẲNG TAY TRÁI/SA SINH DỤC ĐỘ II/ĐỤC THỦY TINH THỂ ĐÃ PT/GIẢM THÍNH LỰC TUỔI GIÀ</t>
  </si>
  <si>
    <t>HUỲNH BÁ VÂN</t>
  </si>
  <si>
    <t>28/10/1953</t>
  </si>
  <si>
    <t>049053002644</t>
  </si>
  <si>
    <t>THOÁI HÓA KHỚP GỐI/MỘNG THỊT MẮT PHẢI/MẤT RĂNG HAI HÀM</t>
  </si>
  <si>
    <t>HUỲNH QUANG</t>
  </si>
  <si>
    <t>049070009114</t>
  </si>
  <si>
    <t>VIÊM DẠ DÀY/PHÌ ĐẠI TLT/YẾU CHÂN PHẢI DO DI CHỨNG CHẤN THƯƠNG CỘT SỐNG CỔ/GÃY CỘT SỐNG ĐÃ PT/ĐỤC THỦY TINH THỂ HAI MẮT/MẤT NHIỀU RĂNG</t>
  </si>
  <si>
    <t>HUỲNH BÁ OANH</t>
  </si>
  <si>
    <t>20/09/1973</t>
  </si>
  <si>
    <t>049073015354</t>
  </si>
  <si>
    <t>VIÊM CƠ TIM/THOÁT VỊ ĐĨA ĐỆM CỘT SỐNG THẮT LƯNG/VIÊM KHỚP/CẬN THỊ</t>
  </si>
  <si>
    <t>TRẦN THỊ LIỄU</t>
  </si>
  <si>
    <t>0905404058</t>
  </si>
  <si>
    <t>049149005615</t>
  </si>
  <si>
    <t>TĂNG HUYẾT ÁP ĐANG ĐIỀU TRỊ/RỐI LOẠN GIẤC NGỦ/K ĐẠI TRÀNG ĐÃ PT/ĐỤC THỦY TINH THỂ</t>
  </si>
  <si>
    <t>UNG NHO HẬU</t>
  </si>
  <si>
    <t>049204002139</t>
  </si>
  <si>
    <t>HAI MẮT CẬN THỊ</t>
  </si>
  <si>
    <t>TRÌNH THỊ LÀI</t>
  </si>
  <si>
    <t>23/05/1966</t>
  </si>
  <si>
    <t>049166012786</t>
  </si>
  <si>
    <t>MỘNG THỊT HAI MẮT/MẤT NHIỀU RĂNG/VIÊM NƯỚU/VÔI RĂNG</t>
  </si>
  <si>
    <t>NGUYỄN THỊ TAM</t>
  </si>
  <si>
    <t>23/12/1957</t>
  </si>
  <si>
    <t>049157007105</t>
  </si>
  <si>
    <t>TĂNG HUYẾT ÁP/TEO CƠ BÀN TAY PHẢI/ĐỤC THỦY TINH THỂ HAI MẮT/MẤT NHIỀU RĂNG HAI HÀM</t>
  </si>
  <si>
    <t>PHẠM THỊ LIỄU</t>
  </si>
  <si>
    <t>049166014906</t>
  </si>
  <si>
    <t>TRÀO NGƯỢC DẠ DÀY/GÃY XƯƠNG BÁNH CHÈ, XƯƠNG CẲNG TAY TRÁI ĐÃ PT/LÃO THỊ/MẤT NHIỀU RĂNG</t>
  </si>
  <si>
    <t>TRƯƠNG BẢY</t>
  </si>
  <si>
    <t>049070020754</t>
  </si>
  <si>
    <t>VIÊM LOÉT DẠ DÀY/THOÁI HÓA CỘT SỐNG/VÔI RĂNG/VIÊM NƯỚU</t>
  </si>
  <si>
    <t>TRẦN NGUYỄN TÍN</t>
  </si>
  <si>
    <t>16/09/1991</t>
  </si>
  <si>
    <t>049091005152</t>
  </si>
  <si>
    <t>KHUYẾT MÓNG NGÓN GIỮA BÀN TAY TRÁI</t>
  </si>
  <si>
    <t>TRẦN TRINH MINH TỴ</t>
  </si>
  <si>
    <t>21/10/1995</t>
  </si>
  <si>
    <t>049095018468</t>
  </si>
  <si>
    <t>NGUYỄN THỊ BÍCH HOA</t>
  </si>
  <si>
    <t>049187017438</t>
  </si>
  <si>
    <t>BƯỚU GIÁP/THOÁT VỊ ĐĨA ĐỆM CỘT SỐNG THẮT LƯNG L4-L5/HẸP ỐNG SỐNG/POLIP TỬ CUNG ĐÃ PT/VIỄN THỊ</t>
  </si>
  <si>
    <t>18-60</t>
  </si>
  <si>
    <t>88-60</t>
  </si>
  <si>
    <t>06-18</t>
  </si>
  <si>
    <t>Trẻ em</t>
  </si>
  <si>
    <t xml:space="preserve"> MAI THỊ VIỆN</t>
  </si>
  <si>
    <t xml:space="preserve"> NGUYỄN THỊ BÔNG</t>
  </si>
  <si>
    <t xml:space="preserve"> ĐỖ THỊ MỸ</t>
  </si>
  <si>
    <t xml:space="preserve"> NGUYỄN THỊ LẠC</t>
  </si>
  <si>
    <t xml:space="preserve"> MAI THỊ BÍCH LIÊN</t>
  </si>
  <si>
    <t xml:space="preserve"> LÊ VĂN TUYÊN</t>
  </si>
  <si>
    <t xml:space="preserve"> VÕ NGỌC KHANH</t>
  </si>
  <si>
    <t xml:space="preserve"> NGUYỄN VĂN TRUNG</t>
  </si>
  <si>
    <t xml:space="preserve"> NGUYỄN THỊ HÃNH</t>
  </si>
  <si>
    <t xml:space="preserve"> LÊ ĐÌNH THU</t>
  </si>
  <si>
    <t xml:space="preserve"> DOÃN THỊ HƯỜNG</t>
  </si>
  <si>
    <t xml:space="preserve"> NGUYỄN ĐĂNG VÂN</t>
  </si>
  <si>
    <t xml:space="preserve"> NGUYỄN THỊ CỬU</t>
  </si>
  <si>
    <t xml:space="preserve"> BÙI THỊ HỒNG</t>
  </si>
  <si>
    <t xml:space="preserve"> NGUYỄN THỊ LIỄU</t>
  </si>
  <si>
    <t xml:space="preserve"> LÊ VĂN BA</t>
  </si>
  <si>
    <t xml:space="preserve"> TRẦN THỊ BÍCH HÀ</t>
  </si>
  <si>
    <t xml:space="preserve"> NGUYỄN THỊ HỒNG</t>
  </si>
  <si>
    <t xml:space="preserve"> VÕ THỊ XUÂN</t>
  </si>
  <si>
    <t xml:space="preserve"> NGUYỄN THỊ CƠ</t>
  </si>
  <si>
    <t xml:space="preserve"> NGUYỄN THỊ TIẾN</t>
  </si>
  <si>
    <t xml:space="preserve"> NGUYỄN VĂN CHUNG</t>
  </si>
  <si>
    <t xml:space="preserve"> PHẠM THỊ HUỆ</t>
  </si>
  <si>
    <t xml:space="preserve"> NGUYỄN THỊ LIÊN</t>
  </si>
  <si>
    <t xml:space="preserve"> PHAN THỊ LAN</t>
  </si>
  <si>
    <t xml:space="preserve"> NGUYỄN THỊ SƠN</t>
  </si>
  <si>
    <t xml:space="preserve"> NGUYỄN THỊ MIÊN</t>
  </si>
  <si>
    <t xml:space="preserve"> NGUYỄN VĂN HIỆU</t>
  </si>
  <si>
    <t xml:space="preserve"> NGUYỄN THỊ TÁM</t>
  </si>
  <si>
    <t xml:space="preserve"> NGUYỄN THỊ LAN</t>
  </si>
  <si>
    <t xml:space="preserve"> TRẦN THỊ MIỀN</t>
  </si>
  <si>
    <t xml:space="preserve"> HUỲNH TẤN VƯƠNG</t>
  </si>
  <si>
    <t xml:space="preserve"> ĐOÀN THỊ THUẬN</t>
  </si>
  <si>
    <t xml:space="preserve"> MAI THỊ MINH</t>
  </si>
  <si>
    <t xml:space="preserve"> MAI HUỀ</t>
  </si>
  <si>
    <t xml:space="preserve"> NGUYỄN TẤN ĐOÀN</t>
  </si>
  <si>
    <t xml:space="preserve"> TRẦN THỊ THANH</t>
  </si>
  <si>
    <t xml:space="preserve"> MAI VĂN TRỌNG</t>
  </si>
  <si>
    <t xml:space="preserve"> THÁI VIẾT HOÀNG</t>
  </si>
  <si>
    <t xml:space="preserve"> TRẦN HỮU NỞ</t>
  </si>
  <si>
    <t xml:space="preserve"> NGÔ THỊ HỌC</t>
  </si>
  <si>
    <t xml:space="preserve"> TRỊNH MINH BẢO</t>
  </si>
  <si>
    <t xml:space="preserve"> HỒ VĂN NHÀN</t>
  </si>
  <si>
    <t>6 đến dưới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</si>
</sst>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&quot;/&quot;00&quot;/&quot;0000"/>
    <numFmt numFmtId="165" formatCode="m/d/yyyy;@"/>
  </numFmts>
  <fonts count="9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1"/>
      <color indexed="8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1" xfId="0" applyFont="1" applyBorder="1"/>
    <xf numFmtId="49" fontId="3" fillId="0" borderId="0" xfId="0" applyNumberFormat="1" applyFont="1" applyAlignment="1">
      <alignment horizontal="center"/>
    </xf>
    <xf numFmtId="0" fontId="3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4" fontId="3" fillId="0" borderId="5" xfId="0" applyNumberFormat="1" applyFont="1" applyBorder="1" applyAlignment="1">
      <alignment horizontal="left"/>
    </xf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" xfId="0" applyNumberFormat="1" applyFont="1" applyBorder="1"/>
    <xf numFmtId="0" fontId="3" fillId="0" borderId="3" xfId="0" applyFont="1" applyBorder="1"/>
    <xf numFmtId="14" fontId="3" fillId="0" borderId="1" xfId="0" applyNumberFormat="1" applyFont="1" applyBorder="1" applyAlignment="1">
      <alignment horizontal="left"/>
    </xf>
    <xf numFmtId="0" fontId="4" fillId="0" borderId="1" xfId="0" applyFont="1" applyBorder="1" applyAlignment="1" applyProtection="1">
      <alignment vertical="center" wrapText="1"/>
      <protection locked="0"/>
    </xf>
    <xf numFmtId="14" fontId="3" fillId="0" borderId="1" xfId="0" applyNumberFormat="1" applyFont="1" applyBorder="1"/>
    <xf numFmtId="16" fontId="3" fillId="0" borderId="3" xfId="0" applyNumberFormat="1" applyFont="1" applyBorder="1"/>
    <xf numFmtId="0" fontId="3" fillId="3" borderId="1" xfId="0" applyFont="1" applyFill="1" applyBorder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/>
    </xf>
    <xf numFmtId="49" fontId="3" fillId="0" borderId="6" xfId="0" applyNumberFormat="1" applyFont="1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16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2" fillId="0" borderId="3" xfId="0" applyFont="1" applyBorder="1"/>
    <xf numFmtId="49" fontId="5" fillId="4" borderId="1" xfId="0" applyNumberFormat="1" applyFont="1" applyFill="1" applyBorder="1" applyAlignment="1">
      <alignment horizontal="left" vertical="center" wrapText="1"/>
    </xf>
    <xf numFmtId="14" fontId="3" fillId="0" borderId="0" xfId="0" applyNumberFormat="1" applyFont="1"/>
    <xf numFmtId="49" fontId="3" fillId="0" borderId="1" xfId="0" quotePrefix="1" applyNumberFormat="1" applyFont="1" applyBorder="1"/>
    <xf numFmtId="49" fontId="3" fillId="2" borderId="1" xfId="0" quotePrefix="1" applyNumberFormat="1" applyFont="1" applyFill="1" applyBorder="1"/>
    <xf numFmtId="164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/>
    <xf numFmtId="0" fontId="3" fillId="0" borderId="0" xfId="0" quotePrefix="1" applyFont="1"/>
    <xf numFmtId="49" fontId="3" fillId="0" borderId="0" xfId="0" quotePrefix="1" applyNumberFormat="1" applyFont="1"/>
    <xf numFmtId="17" fontId="3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5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/>
    <xf numFmtId="0" fontId="6" fillId="0" borderId="3" xfId="0" applyFont="1" applyBorder="1"/>
    <xf numFmtId="0" fontId="6" fillId="0" borderId="0" xfId="0" applyFont="1"/>
    <xf numFmtId="0" fontId="7" fillId="0" borderId="1" xfId="0" applyFont="1" applyBorder="1"/>
    <xf numFmtId="17" fontId="7" fillId="0" borderId="1" xfId="0" quotePrefix="1" applyNumberFormat="1" applyFont="1" applyBorder="1"/>
    <xf numFmtId="0" fontId="7" fillId="0" borderId="1" xfId="0" quotePrefix="1" applyFont="1" applyBorder="1"/>
    <xf numFmtId="0" fontId="7" fillId="0" borderId="0" xfId="0" applyFont="1"/>
    <xf numFmtId="0" fontId="7" fillId="0" borderId="0" xfId="0" quotePrefix="1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16" fontId="3" fillId="0" borderId="1" xfId="0" applyNumberFormat="1" applyFont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~1\AppData\Local\Temp\Zalo%20Temp\TempDownloads\KSK_Duoi%2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tinh"/>
      <sheetName val="dmhuyen"/>
      <sheetName val="dmxa"/>
      <sheetName val="dmdantoc"/>
      <sheetName val="dmnghenghiep"/>
      <sheetName val="Duoi 6"/>
      <sheetName val="DM_CanLamSang"/>
      <sheetName val="Hướng dẫn"/>
      <sheetName val="dmkhac"/>
      <sheetName val="dmicd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6"/>
  <sheetViews>
    <sheetView zoomScale="112" zoomScaleNormal="112" workbookViewId="0">
      <pane ySplit="11" topLeftCell="A605" activePane="bottomLeft" state="frozen"/>
      <selection pane="bottomLeft" activeCell="A404" sqref="A404:XFD614"/>
    </sheetView>
  </sheetViews>
  <sheetFormatPr defaultColWidth="9.140625" defaultRowHeight="15"/>
  <cols>
    <col min="1" max="1" width="4.42578125" style="3" customWidth="1"/>
    <col min="2" max="2" width="22.42578125" style="4" customWidth="1"/>
    <col min="3" max="3" width="31.28515625" style="4" bestFit="1" customWidth="1"/>
    <col min="4" max="4" width="31.28515625" style="4" customWidth="1"/>
    <col min="5" max="5" width="14.85546875" style="4" customWidth="1"/>
    <col min="6" max="6" width="19.140625" style="4" customWidth="1"/>
    <col min="7" max="8" width="18.85546875" style="4" customWidth="1"/>
    <col min="9" max="10" width="4.85546875" style="3" customWidth="1"/>
    <col min="11" max="11" width="14.42578125" style="4" customWidth="1"/>
    <col min="12" max="12" width="22.7109375" style="5" customWidth="1"/>
    <col min="13" max="13" width="13.85546875" style="5" customWidth="1"/>
    <col min="14" max="14" width="15.5703125" style="4" customWidth="1"/>
    <col min="15" max="15" width="11.5703125" style="4" customWidth="1"/>
    <col min="16" max="16" width="10.42578125" style="4" customWidth="1"/>
    <col min="17" max="17" width="9.5703125" style="4" customWidth="1"/>
    <col min="18" max="18" width="9.140625" style="4" customWidth="1"/>
    <col min="19" max="20" width="5.7109375" style="4" customWidth="1"/>
    <col min="21" max="21" width="7.140625" style="4" customWidth="1"/>
    <col min="22" max="22" width="15.28515625" style="6" customWidth="1"/>
    <col min="23" max="23" width="7.140625" style="4" customWidth="1"/>
    <col min="24" max="16384" width="9.140625" style="4"/>
  </cols>
  <sheetData>
    <row r="1" spans="1:22" hidden="1">
      <c r="A1" s="66" t="s">
        <v>0</v>
      </c>
      <c r="B1" s="66"/>
      <c r="C1" s="66"/>
      <c r="D1" s="66"/>
      <c r="E1" s="66"/>
      <c r="F1" s="66"/>
      <c r="G1" s="3"/>
      <c r="H1" s="3"/>
      <c r="V1" s="4"/>
    </row>
    <row r="2" spans="1:22" hidden="1">
      <c r="V2" s="4"/>
    </row>
    <row r="3" spans="1:22" hidden="1">
      <c r="V3" s="4"/>
    </row>
    <row r="4" spans="1:22" hidden="1">
      <c r="A4" s="67" t="s">
        <v>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4"/>
    </row>
    <row r="5" spans="1:22" hidden="1">
      <c r="V5" s="4"/>
    </row>
    <row r="6" spans="1:22" hidden="1">
      <c r="A6" s="68" t="s">
        <v>2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V6" s="4"/>
    </row>
    <row r="7" spans="1:22" hidden="1">
      <c r="A7" s="68" t="s">
        <v>3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V7" s="4"/>
    </row>
    <row r="8" spans="1:22" hidden="1">
      <c r="B8" s="3"/>
      <c r="C8" s="3"/>
      <c r="D8" s="3"/>
      <c r="E8" s="3"/>
      <c r="F8" s="3"/>
      <c r="G8" s="3"/>
      <c r="H8" s="3"/>
      <c r="K8" s="3"/>
      <c r="L8" s="7"/>
      <c r="M8" s="7"/>
      <c r="V8" s="8"/>
    </row>
    <row r="9" spans="1:22" s="1" customFormat="1" ht="57">
      <c r="A9" s="9" t="s">
        <v>4</v>
      </c>
      <c r="B9" s="9" t="s">
        <v>5</v>
      </c>
      <c r="C9" s="9" t="s">
        <v>6</v>
      </c>
      <c r="D9" s="9"/>
      <c r="E9" s="10" t="s">
        <v>7</v>
      </c>
      <c r="F9" s="9" t="s">
        <v>8</v>
      </c>
      <c r="G9" s="11" t="s">
        <v>9</v>
      </c>
      <c r="H9" s="11" t="s">
        <v>10</v>
      </c>
      <c r="I9" s="69" t="s">
        <v>11</v>
      </c>
      <c r="J9" s="70"/>
      <c r="K9" s="9" t="s">
        <v>12</v>
      </c>
      <c r="L9" s="13" t="s">
        <v>13</v>
      </c>
      <c r="M9" s="13" t="s">
        <v>14</v>
      </c>
      <c r="N9" s="10" t="s">
        <v>15</v>
      </c>
      <c r="O9" s="10" t="s">
        <v>16</v>
      </c>
      <c r="P9" s="10" t="s">
        <v>17</v>
      </c>
      <c r="Q9" s="10" t="s">
        <v>18</v>
      </c>
      <c r="R9" s="14" t="s">
        <v>19</v>
      </c>
      <c r="S9" s="14" t="s">
        <v>20</v>
      </c>
      <c r="T9" s="14" t="s">
        <v>21</v>
      </c>
      <c r="U9" s="14" t="s">
        <v>22</v>
      </c>
      <c r="V9" s="15" t="s">
        <v>23</v>
      </c>
    </row>
    <row r="10" spans="1:22" s="1" customFormat="1" ht="14.25">
      <c r="A10" s="11"/>
      <c r="B10" s="16"/>
      <c r="C10" s="12"/>
      <c r="D10" s="12"/>
      <c r="E10" s="10"/>
      <c r="F10" s="9"/>
      <c r="G10" s="11"/>
      <c r="H10" s="11"/>
      <c r="I10" s="11" t="s">
        <v>24</v>
      </c>
      <c r="J10" s="12" t="s">
        <v>25</v>
      </c>
      <c r="K10" s="9"/>
      <c r="L10" s="13"/>
      <c r="M10" s="13"/>
      <c r="N10" s="10"/>
      <c r="O10" s="10"/>
      <c r="P10" s="10"/>
      <c r="Q10" s="10"/>
      <c r="R10" s="14"/>
      <c r="S10" s="14"/>
      <c r="T10" s="14"/>
      <c r="U10" s="14"/>
      <c r="V10" s="15"/>
    </row>
    <row r="11" spans="1:22" s="1" customFormat="1">
      <c r="A11" s="17">
        <v>1</v>
      </c>
      <c r="B11" s="18">
        <v>46032</v>
      </c>
      <c r="C11" s="19" t="s">
        <v>26</v>
      </c>
      <c r="D11" s="71" t="s">
        <v>2378</v>
      </c>
      <c r="E11" s="20" t="s">
        <v>2374</v>
      </c>
      <c r="F11" s="21">
        <v>23071970</v>
      </c>
      <c r="G11" s="21" t="str">
        <f t="shared" ref="G11:G42" si="0">RIGHT(F11,4)</f>
        <v>1970</v>
      </c>
      <c r="H11" s="22">
        <f t="shared" ref="H11:H74" si="1">2026-G11</f>
        <v>56</v>
      </c>
      <c r="I11" s="23"/>
      <c r="J11" s="24" t="s">
        <v>27</v>
      </c>
      <c r="K11" s="6" t="s">
        <v>28</v>
      </c>
      <c r="L11" s="25"/>
      <c r="M11" s="45" t="s">
        <v>29</v>
      </c>
      <c r="N11" s="6"/>
      <c r="O11" s="6" t="s">
        <v>30</v>
      </c>
      <c r="P11" s="6">
        <v>155</v>
      </c>
      <c r="Q11" s="6">
        <v>51</v>
      </c>
      <c r="R11" s="26">
        <v>77</v>
      </c>
      <c r="S11" s="26">
        <v>8</v>
      </c>
      <c r="T11" s="26">
        <v>9</v>
      </c>
      <c r="U11" s="26"/>
      <c r="V11" s="6"/>
    </row>
    <row r="12" spans="1:22">
      <c r="A12" s="20">
        <v>2</v>
      </c>
      <c r="B12" s="27">
        <v>46032</v>
      </c>
      <c r="C12" s="6" t="s">
        <v>31</v>
      </c>
      <c r="D12" s="71" t="s">
        <v>2379</v>
      </c>
      <c r="E12" s="20" t="s">
        <v>40</v>
      </c>
      <c r="F12" s="21">
        <v>10091947</v>
      </c>
      <c r="G12" s="21" t="str">
        <f t="shared" si="0"/>
        <v>1947</v>
      </c>
      <c r="H12" s="22">
        <f t="shared" si="1"/>
        <v>79</v>
      </c>
      <c r="I12" s="23"/>
      <c r="J12" s="20" t="s">
        <v>27</v>
      </c>
      <c r="K12" s="6" t="s">
        <v>32</v>
      </c>
      <c r="L12" s="25"/>
      <c r="M12" s="45" t="s">
        <v>33</v>
      </c>
      <c r="N12" s="6"/>
      <c r="O12" s="6" t="s">
        <v>34</v>
      </c>
      <c r="P12" s="6">
        <v>140</v>
      </c>
      <c r="Q12" s="6">
        <v>55</v>
      </c>
      <c r="R12" s="26">
        <v>82</v>
      </c>
      <c r="S12" s="26">
        <v>10</v>
      </c>
      <c r="T12" s="26">
        <v>10</v>
      </c>
      <c r="U12" s="26"/>
    </row>
    <row r="13" spans="1:22">
      <c r="A13" s="17">
        <v>3</v>
      </c>
      <c r="B13" s="27">
        <v>46032</v>
      </c>
      <c r="C13" s="6" t="s">
        <v>35</v>
      </c>
      <c r="D13" s="71" t="s">
        <v>2380</v>
      </c>
      <c r="E13" s="20" t="s">
        <v>40</v>
      </c>
      <c r="F13" s="21">
        <v>10051962</v>
      </c>
      <c r="G13" s="21" t="str">
        <f t="shared" si="0"/>
        <v>1962</v>
      </c>
      <c r="H13" s="22">
        <f t="shared" si="1"/>
        <v>64</v>
      </c>
      <c r="I13" s="23"/>
      <c r="J13" s="20" t="s">
        <v>27</v>
      </c>
      <c r="K13" s="6" t="s">
        <v>32</v>
      </c>
      <c r="L13" s="45" t="s">
        <v>36</v>
      </c>
      <c r="M13" s="45" t="s">
        <v>37</v>
      </c>
      <c r="N13" s="6"/>
      <c r="O13" s="6" t="s">
        <v>38</v>
      </c>
      <c r="P13" s="6">
        <v>155</v>
      </c>
      <c r="Q13" s="6">
        <v>59</v>
      </c>
      <c r="R13" s="26">
        <v>70</v>
      </c>
      <c r="S13" s="26">
        <v>5</v>
      </c>
      <c r="T13" s="26">
        <v>4</v>
      </c>
      <c r="U13" s="26"/>
    </row>
    <row r="14" spans="1:22">
      <c r="A14" s="20">
        <v>4</v>
      </c>
      <c r="B14" s="27">
        <v>46032</v>
      </c>
      <c r="C14" s="6" t="s">
        <v>39</v>
      </c>
      <c r="D14" s="71" t="s">
        <v>2381</v>
      </c>
      <c r="E14" s="20" t="s">
        <v>40</v>
      </c>
      <c r="F14" s="21">
        <v>15051948</v>
      </c>
      <c r="G14" s="21" t="str">
        <f t="shared" si="0"/>
        <v>1948</v>
      </c>
      <c r="H14" s="22">
        <f t="shared" si="1"/>
        <v>78</v>
      </c>
      <c r="I14" s="23" t="s">
        <v>27</v>
      </c>
      <c r="J14" s="20"/>
      <c r="K14" s="6"/>
      <c r="L14" s="25"/>
      <c r="M14" s="45" t="s">
        <v>41</v>
      </c>
      <c r="N14" s="6"/>
      <c r="O14" s="6" t="s">
        <v>42</v>
      </c>
      <c r="P14" s="6">
        <v>155</v>
      </c>
      <c r="Q14" s="6">
        <v>50</v>
      </c>
      <c r="R14" s="26">
        <v>74</v>
      </c>
      <c r="S14" s="26">
        <v>7</v>
      </c>
      <c r="T14" s="26">
        <v>7</v>
      </c>
      <c r="U14" s="26"/>
    </row>
    <row r="15" spans="1:22">
      <c r="A15" s="17">
        <v>5</v>
      </c>
      <c r="B15" s="27">
        <v>46032</v>
      </c>
      <c r="C15" s="6" t="s">
        <v>43</v>
      </c>
      <c r="D15" s="71" t="s">
        <v>2378</v>
      </c>
      <c r="E15" s="20" t="s">
        <v>40</v>
      </c>
      <c r="F15" s="21">
        <v>1021953</v>
      </c>
      <c r="G15" s="21" t="str">
        <f t="shared" si="0"/>
        <v>1953</v>
      </c>
      <c r="H15" s="22">
        <f t="shared" si="1"/>
        <v>73</v>
      </c>
      <c r="I15" s="23"/>
      <c r="J15" s="20" t="s">
        <v>27</v>
      </c>
      <c r="K15" s="6" t="s">
        <v>32</v>
      </c>
      <c r="L15" s="25"/>
      <c r="M15" s="45" t="s">
        <v>44</v>
      </c>
      <c r="N15" s="6"/>
      <c r="O15" s="6" t="s">
        <v>45</v>
      </c>
      <c r="P15" s="6">
        <v>150</v>
      </c>
      <c r="Q15" s="6">
        <v>45</v>
      </c>
      <c r="R15" s="26">
        <v>81</v>
      </c>
      <c r="S15" s="26">
        <v>5</v>
      </c>
      <c r="T15" s="26">
        <v>7</v>
      </c>
      <c r="U15" s="26"/>
    </row>
    <row r="16" spans="1:22">
      <c r="A16" s="20">
        <v>6</v>
      </c>
      <c r="B16" s="27">
        <v>46032</v>
      </c>
      <c r="C16" s="6" t="s">
        <v>46</v>
      </c>
      <c r="D16" s="71" t="s">
        <v>2379</v>
      </c>
      <c r="E16" s="20" t="s">
        <v>2374</v>
      </c>
      <c r="F16" s="21">
        <v>1011971</v>
      </c>
      <c r="G16" s="21" t="str">
        <f t="shared" si="0"/>
        <v>1971</v>
      </c>
      <c r="H16" s="22">
        <f t="shared" si="1"/>
        <v>55</v>
      </c>
      <c r="I16" s="23"/>
      <c r="J16" s="20" t="s">
        <v>27</v>
      </c>
      <c r="K16" s="6" t="s">
        <v>32</v>
      </c>
      <c r="L16" s="25"/>
      <c r="M16" s="45" t="s">
        <v>47</v>
      </c>
      <c r="N16" s="6"/>
      <c r="O16" s="6" t="s">
        <v>48</v>
      </c>
      <c r="P16" s="6">
        <v>150</v>
      </c>
      <c r="Q16" s="6">
        <v>38</v>
      </c>
      <c r="R16" s="26">
        <v>89</v>
      </c>
      <c r="S16" s="26">
        <v>7</v>
      </c>
      <c r="T16" s="26">
        <v>8</v>
      </c>
      <c r="U16" s="26"/>
    </row>
    <row r="17" spans="1:21">
      <c r="A17" s="17">
        <v>7</v>
      </c>
      <c r="B17" s="27">
        <v>46032</v>
      </c>
      <c r="C17" s="6" t="s">
        <v>49</v>
      </c>
      <c r="D17" s="71" t="s">
        <v>2381</v>
      </c>
      <c r="E17" s="20" t="s">
        <v>2374</v>
      </c>
      <c r="F17" s="21">
        <v>19081980</v>
      </c>
      <c r="G17" s="21" t="str">
        <f t="shared" si="0"/>
        <v>1980</v>
      </c>
      <c r="H17" s="22">
        <f t="shared" si="1"/>
        <v>46</v>
      </c>
      <c r="I17" s="23" t="s">
        <v>27</v>
      </c>
      <c r="J17" s="20"/>
      <c r="K17" s="6" t="s">
        <v>32</v>
      </c>
      <c r="L17" s="25"/>
      <c r="M17" s="45" t="s">
        <v>50</v>
      </c>
      <c r="N17" s="6"/>
      <c r="O17" s="6" t="s">
        <v>51</v>
      </c>
      <c r="P17" s="6">
        <v>175</v>
      </c>
      <c r="Q17" s="6">
        <v>73</v>
      </c>
      <c r="R17" s="26">
        <v>74</v>
      </c>
      <c r="S17" s="26">
        <v>8</v>
      </c>
      <c r="T17" s="26">
        <v>9</v>
      </c>
      <c r="U17" s="26"/>
    </row>
    <row r="18" spans="1:21">
      <c r="A18" s="20">
        <v>8</v>
      </c>
      <c r="B18" s="27">
        <v>46032</v>
      </c>
      <c r="C18" s="6" t="s">
        <v>52</v>
      </c>
      <c r="D18" s="71" t="s">
        <v>2380</v>
      </c>
      <c r="E18" s="20" t="s">
        <v>2374</v>
      </c>
      <c r="F18" s="21">
        <v>20111967</v>
      </c>
      <c r="G18" s="21" t="str">
        <f t="shared" si="0"/>
        <v>1967</v>
      </c>
      <c r="H18" s="22">
        <f t="shared" si="1"/>
        <v>59</v>
      </c>
      <c r="I18" s="23"/>
      <c r="J18" s="20" t="s">
        <v>27</v>
      </c>
      <c r="K18" s="6" t="s">
        <v>32</v>
      </c>
      <c r="L18" s="25"/>
      <c r="M18" s="45" t="s">
        <v>53</v>
      </c>
      <c r="N18" s="6"/>
      <c r="O18" s="6" t="s">
        <v>54</v>
      </c>
      <c r="P18" s="6">
        <v>145</v>
      </c>
      <c r="Q18" s="6">
        <v>52</v>
      </c>
      <c r="R18" s="26">
        <v>56</v>
      </c>
      <c r="S18" s="26">
        <v>7</v>
      </c>
      <c r="T18" s="26">
        <v>6</v>
      </c>
      <c r="U18" s="26"/>
    </row>
    <row r="19" spans="1:21">
      <c r="A19" s="17">
        <v>9</v>
      </c>
      <c r="B19" s="27">
        <v>46032</v>
      </c>
      <c r="C19" s="6" t="s">
        <v>55</v>
      </c>
      <c r="D19" s="71" t="s">
        <v>2382</v>
      </c>
      <c r="E19" s="20" t="s">
        <v>2374</v>
      </c>
      <c r="F19" s="21">
        <v>11101985</v>
      </c>
      <c r="G19" s="21" t="str">
        <f t="shared" si="0"/>
        <v>1985</v>
      </c>
      <c r="H19" s="22">
        <f t="shared" si="1"/>
        <v>41</v>
      </c>
      <c r="I19" s="23"/>
      <c r="J19" s="20" t="s">
        <v>27</v>
      </c>
      <c r="K19" s="6" t="s">
        <v>32</v>
      </c>
      <c r="L19" s="25"/>
      <c r="M19" s="45" t="s">
        <v>56</v>
      </c>
      <c r="N19" s="6"/>
      <c r="O19" s="6" t="s">
        <v>57</v>
      </c>
      <c r="P19" s="6">
        <v>160</v>
      </c>
      <c r="Q19" s="6">
        <v>65</v>
      </c>
      <c r="R19" s="26">
        <v>76</v>
      </c>
      <c r="S19" s="26">
        <v>9</v>
      </c>
      <c r="T19" s="26">
        <v>9</v>
      </c>
      <c r="U19" s="26"/>
    </row>
    <row r="20" spans="1:21">
      <c r="A20" s="20">
        <v>10</v>
      </c>
      <c r="B20" s="27">
        <v>46032</v>
      </c>
      <c r="C20" s="6" t="s">
        <v>58</v>
      </c>
      <c r="D20" s="71" t="s">
        <v>2383</v>
      </c>
      <c r="E20" s="20" t="s">
        <v>40</v>
      </c>
      <c r="F20" s="21">
        <v>4061966</v>
      </c>
      <c r="G20" s="21" t="str">
        <f t="shared" si="0"/>
        <v>1966</v>
      </c>
      <c r="H20" s="22">
        <f t="shared" si="1"/>
        <v>60</v>
      </c>
      <c r="I20" s="23"/>
      <c r="J20" s="20" t="s">
        <v>27</v>
      </c>
      <c r="K20" s="6" t="s">
        <v>32</v>
      </c>
      <c r="L20" s="25"/>
      <c r="M20" s="45" t="s">
        <v>59</v>
      </c>
      <c r="N20" s="6"/>
      <c r="O20" s="6" t="s">
        <v>60</v>
      </c>
      <c r="P20" s="6">
        <v>150</v>
      </c>
      <c r="Q20" s="6">
        <v>39</v>
      </c>
      <c r="R20" s="26">
        <v>76</v>
      </c>
      <c r="S20" s="26">
        <v>6</v>
      </c>
      <c r="T20" s="26">
        <v>6</v>
      </c>
      <c r="U20" s="26"/>
    </row>
    <row r="21" spans="1:21">
      <c r="A21" s="17">
        <v>11</v>
      </c>
      <c r="B21" s="27">
        <v>46032</v>
      </c>
      <c r="C21" s="6" t="s">
        <v>61</v>
      </c>
      <c r="D21" s="71" t="s">
        <v>2384</v>
      </c>
      <c r="E21" s="20" t="s">
        <v>2374</v>
      </c>
      <c r="F21" s="21">
        <v>22092004</v>
      </c>
      <c r="G21" s="21" t="str">
        <f t="shared" si="0"/>
        <v>2004</v>
      </c>
      <c r="H21" s="22">
        <f t="shared" si="1"/>
        <v>22</v>
      </c>
      <c r="I21" s="23"/>
      <c r="J21" s="20" t="s">
        <v>27</v>
      </c>
      <c r="K21" s="6" t="s">
        <v>32</v>
      </c>
      <c r="L21" s="25"/>
      <c r="M21" s="45" t="s">
        <v>62</v>
      </c>
      <c r="N21" s="6"/>
      <c r="O21" s="6" t="s">
        <v>63</v>
      </c>
      <c r="P21" s="6">
        <v>149</v>
      </c>
      <c r="Q21" s="6">
        <v>38</v>
      </c>
      <c r="R21" s="26">
        <v>91</v>
      </c>
      <c r="S21" s="26">
        <v>10</v>
      </c>
      <c r="T21" s="26">
        <v>10</v>
      </c>
      <c r="U21" s="26"/>
    </row>
    <row r="22" spans="1:21">
      <c r="A22" s="20">
        <v>12</v>
      </c>
      <c r="B22" s="27">
        <v>46032</v>
      </c>
      <c r="C22" s="6" t="s">
        <v>64</v>
      </c>
      <c r="D22" s="71" t="s">
        <v>2385</v>
      </c>
      <c r="E22" s="20" t="s">
        <v>40</v>
      </c>
      <c r="F22" s="21">
        <v>20061948</v>
      </c>
      <c r="G22" s="21" t="str">
        <f t="shared" si="0"/>
        <v>1948</v>
      </c>
      <c r="H22" s="22">
        <f t="shared" si="1"/>
        <v>78</v>
      </c>
      <c r="I22" s="23" t="s">
        <v>27</v>
      </c>
      <c r="J22" s="20"/>
      <c r="K22" s="6" t="s">
        <v>32</v>
      </c>
      <c r="L22" s="25"/>
      <c r="M22" s="45" t="s">
        <v>65</v>
      </c>
      <c r="N22" s="6"/>
      <c r="O22" s="6" t="s">
        <v>66</v>
      </c>
      <c r="P22" s="6">
        <v>160</v>
      </c>
      <c r="Q22" s="6">
        <v>68</v>
      </c>
      <c r="R22" s="26">
        <v>73</v>
      </c>
      <c r="S22" s="26">
        <v>4</v>
      </c>
      <c r="T22" s="26">
        <v>4</v>
      </c>
      <c r="U22" s="26"/>
    </row>
    <row r="23" spans="1:21">
      <c r="A23" s="17">
        <v>13</v>
      </c>
      <c r="B23" s="27">
        <v>46032</v>
      </c>
      <c r="C23" s="6" t="s">
        <v>67</v>
      </c>
      <c r="D23" s="71" t="s">
        <v>2385</v>
      </c>
      <c r="E23" s="20" t="s">
        <v>2374</v>
      </c>
      <c r="F23" s="21">
        <v>22021972</v>
      </c>
      <c r="G23" s="21" t="str">
        <f t="shared" si="0"/>
        <v>1972</v>
      </c>
      <c r="H23" s="22">
        <f t="shared" si="1"/>
        <v>54</v>
      </c>
      <c r="I23" s="23"/>
      <c r="J23" s="20" t="s">
        <v>27</v>
      </c>
      <c r="K23" s="6" t="s">
        <v>32</v>
      </c>
      <c r="L23" s="25"/>
      <c r="M23" s="45" t="s">
        <v>68</v>
      </c>
      <c r="N23" s="6"/>
      <c r="O23" s="6" t="s">
        <v>69</v>
      </c>
      <c r="P23" s="6">
        <v>152</v>
      </c>
      <c r="Q23" s="6">
        <v>42</v>
      </c>
      <c r="R23" s="26">
        <v>68</v>
      </c>
      <c r="S23" s="26">
        <v>8</v>
      </c>
      <c r="T23" s="26">
        <v>7</v>
      </c>
      <c r="U23" s="26"/>
    </row>
    <row r="24" spans="1:21">
      <c r="A24" s="20">
        <v>14</v>
      </c>
      <c r="B24" s="27">
        <v>46032</v>
      </c>
      <c r="C24" s="6" t="s">
        <v>70</v>
      </c>
      <c r="D24" s="71" t="s">
        <v>2382</v>
      </c>
      <c r="E24" s="20" t="s">
        <v>40</v>
      </c>
      <c r="F24" s="21">
        <v>8081966</v>
      </c>
      <c r="G24" s="21" t="str">
        <f t="shared" si="0"/>
        <v>1966</v>
      </c>
      <c r="H24" s="22">
        <f t="shared" si="1"/>
        <v>60</v>
      </c>
      <c r="I24" s="23" t="s">
        <v>27</v>
      </c>
      <c r="J24" s="20"/>
      <c r="K24" s="6" t="s">
        <v>32</v>
      </c>
      <c r="L24" s="25"/>
      <c r="M24" s="45" t="s">
        <v>71</v>
      </c>
      <c r="N24" s="6"/>
      <c r="O24" s="6" t="s">
        <v>72</v>
      </c>
      <c r="P24" s="6">
        <v>165</v>
      </c>
      <c r="Q24" s="6">
        <v>60</v>
      </c>
      <c r="R24" s="26">
        <v>90</v>
      </c>
      <c r="S24" s="26">
        <v>7</v>
      </c>
      <c r="T24" s="26">
        <v>6</v>
      </c>
      <c r="U24" s="26"/>
    </row>
    <row r="25" spans="1:21">
      <c r="A25" s="17">
        <v>15</v>
      </c>
      <c r="B25" s="27">
        <v>46032</v>
      </c>
      <c r="C25" s="6" t="s">
        <v>73</v>
      </c>
      <c r="D25" s="71" t="s">
        <v>2384</v>
      </c>
      <c r="E25" s="20" t="s">
        <v>40</v>
      </c>
      <c r="F25" s="21">
        <v>1031937</v>
      </c>
      <c r="G25" s="21" t="str">
        <f t="shared" si="0"/>
        <v>1937</v>
      </c>
      <c r="H25" s="22">
        <f t="shared" si="1"/>
        <v>89</v>
      </c>
      <c r="I25" s="23" t="s">
        <v>27</v>
      </c>
      <c r="J25" s="20"/>
      <c r="K25" s="6" t="s">
        <v>32</v>
      </c>
      <c r="L25" s="25"/>
      <c r="M25" s="45" t="s">
        <v>74</v>
      </c>
      <c r="N25" s="6"/>
      <c r="O25" s="6" t="s">
        <v>75</v>
      </c>
      <c r="P25" s="6">
        <v>155</v>
      </c>
      <c r="Q25" s="6">
        <v>50</v>
      </c>
      <c r="R25" s="26">
        <v>78</v>
      </c>
      <c r="S25" s="26">
        <v>5</v>
      </c>
      <c r="T25" s="26">
        <v>5</v>
      </c>
      <c r="U25" s="26"/>
    </row>
    <row r="26" spans="1:21">
      <c r="A26" s="20">
        <v>16</v>
      </c>
      <c r="B26" s="27">
        <v>46032</v>
      </c>
      <c r="C26" s="6" t="s">
        <v>76</v>
      </c>
      <c r="D26" s="71" t="s">
        <v>2383</v>
      </c>
      <c r="E26" s="20" t="s">
        <v>40</v>
      </c>
      <c r="F26" s="21">
        <v>1011948</v>
      </c>
      <c r="G26" s="21" t="str">
        <f t="shared" si="0"/>
        <v>1948</v>
      </c>
      <c r="H26" s="22">
        <f t="shared" si="1"/>
        <v>78</v>
      </c>
      <c r="I26" s="23"/>
      <c r="J26" s="20" t="s">
        <v>27</v>
      </c>
      <c r="K26" s="6" t="s">
        <v>32</v>
      </c>
      <c r="L26" s="25"/>
      <c r="M26" s="45" t="s">
        <v>77</v>
      </c>
      <c r="N26" s="6"/>
      <c r="O26" s="6" t="s">
        <v>78</v>
      </c>
      <c r="P26" s="6">
        <v>145</v>
      </c>
      <c r="Q26" s="6">
        <v>45</v>
      </c>
      <c r="R26" s="26">
        <v>75</v>
      </c>
      <c r="S26" s="26">
        <v>4</v>
      </c>
      <c r="T26" s="26">
        <v>4</v>
      </c>
      <c r="U26" s="26"/>
    </row>
    <row r="27" spans="1:21">
      <c r="A27" s="17">
        <v>17</v>
      </c>
      <c r="B27" s="27">
        <v>46032</v>
      </c>
      <c r="C27" s="6" t="s">
        <v>79</v>
      </c>
      <c r="D27" s="71" t="s">
        <v>2386</v>
      </c>
      <c r="E27" s="20" t="s">
        <v>40</v>
      </c>
      <c r="F27" s="21">
        <v>14101944</v>
      </c>
      <c r="G27" s="21" t="str">
        <f t="shared" si="0"/>
        <v>1944</v>
      </c>
      <c r="H27" s="22">
        <f t="shared" si="1"/>
        <v>82</v>
      </c>
      <c r="I27" s="23" t="s">
        <v>27</v>
      </c>
      <c r="J27" s="20"/>
      <c r="K27" s="6" t="s">
        <v>32</v>
      </c>
      <c r="L27" s="25"/>
      <c r="M27" s="45" t="s">
        <v>80</v>
      </c>
      <c r="N27" s="6"/>
      <c r="O27" s="6" t="s">
        <v>81</v>
      </c>
      <c r="P27" s="6">
        <v>160</v>
      </c>
      <c r="Q27" s="6">
        <v>70</v>
      </c>
      <c r="R27" s="26">
        <v>72</v>
      </c>
      <c r="S27" s="26">
        <v>3</v>
      </c>
      <c r="T27" s="26">
        <v>2</v>
      </c>
      <c r="U27" s="26"/>
    </row>
    <row r="28" spans="1:21">
      <c r="A28" s="20">
        <v>18</v>
      </c>
      <c r="B28" s="27">
        <v>46032</v>
      </c>
      <c r="C28" s="6" t="s">
        <v>82</v>
      </c>
      <c r="D28" s="71" t="s">
        <v>2387</v>
      </c>
      <c r="E28" s="20" t="s">
        <v>2374</v>
      </c>
      <c r="F28" s="21">
        <v>1051975</v>
      </c>
      <c r="G28" s="21" t="str">
        <f t="shared" si="0"/>
        <v>1975</v>
      </c>
      <c r="H28" s="22">
        <f t="shared" si="1"/>
        <v>51</v>
      </c>
      <c r="I28" s="23"/>
      <c r="J28" s="20" t="s">
        <v>27</v>
      </c>
      <c r="K28" s="6" t="s">
        <v>32</v>
      </c>
      <c r="L28" s="25"/>
      <c r="M28" s="45" t="s">
        <v>83</v>
      </c>
      <c r="N28" s="6"/>
      <c r="O28" s="6" t="s">
        <v>84</v>
      </c>
      <c r="P28" s="6">
        <v>155</v>
      </c>
      <c r="Q28" s="6">
        <v>53</v>
      </c>
      <c r="R28" s="26">
        <v>90</v>
      </c>
      <c r="S28" s="26">
        <v>9</v>
      </c>
      <c r="T28" s="26">
        <v>9</v>
      </c>
      <c r="U28" s="26"/>
    </row>
    <row r="29" spans="1:21">
      <c r="A29" s="17">
        <v>19</v>
      </c>
      <c r="B29" s="27">
        <v>46032</v>
      </c>
      <c r="C29" s="6" t="s">
        <v>85</v>
      </c>
      <c r="D29" s="71" t="s">
        <v>2388</v>
      </c>
      <c r="E29" s="20" t="s">
        <v>2374</v>
      </c>
      <c r="F29" s="21">
        <v>10071974</v>
      </c>
      <c r="G29" s="21" t="str">
        <f t="shared" si="0"/>
        <v>1974</v>
      </c>
      <c r="H29" s="22">
        <f t="shared" si="1"/>
        <v>52</v>
      </c>
      <c r="I29" s="23" t="s">
        <v>27</v>
      </c>
      <c r="J29" s="20"/>
      <c r="K29" s="6" t="s">
        <v>32</v>
      </c>
      <c r="L29" s="25"/>
      <c r="M29" s="46" t="s">
        <v>86</v>
      </c>
      <c r="N29" s="6"/>
      <c r="O29" s="6" t="s">
        <v>87</v>
      </c>
      <c r="P29" s="6">
        <v>160</v>
      </c>
      <c r="Q29" s="6">
        <v>55</v>
      </c>
      <c r="R29" s="26">
        <v>82</v>
      </c>
      <c r="S29" s="26">
        <v>10</v>
      </c>
      <c r="T29" s="26">
        <v>10</v>
      </c>
      <c r="U29" s="26"/>
    </row>
    <row r="30" spans="1:21">
      <c r="A30" s="20">
        <v>20</v>
      </c>
      <c r="B30" s="27">
        <v>46032</v>
      </c>
      <c r="C30" s="6" t="s">
        <v>88</v>
      </c>
      <c r="D30" s="71" t="s">
        <v>2389</v>
      </c>
      <c r="E30" s="20" t="s">
        <v>40</v>
      </c>
      <c r="F30" s="21">
        <v>6021954</v>
      </c>
      <c r="G30" s="21" t="str">
        <f t="shared" si="0"/>
        <v>1954</v>
      </c>
      <c r="H30" s="22">
        <f t="shared" si="1"/>
        <v>72</v>
      </c>
      <c r="I30" s="23"/>
      <c r="J30" s="20" t="s">
        <v>27</v>
      </c>
      <c r="K30" s="6" t="s">
        <v>32</v>
      </c>
      <c r="L30" s="25"/>
      <c r="M30" s="45" t="s">
        <v>89</v>
      </c>
      <c r="N30" s="6"/>
      <c r="O30" s="6" t="s">
        <v>90</v>
      </c>
      <c r="P30" s="6">
        <v>150</v>
      </c>
      <c r="Q30" s="6">
        <v>50</v>
      </c>
      <c r="R30" s="26">
        <v>68</v>
      </c>
      <c r="S30" s="26">
        <v>6</v>
      </c>
      <c r="T30" s="26">
        <v>5</v>
      </c>
      <c r="U30" s="26"/>
    </row>
    <row r="31" spans="1:21">
      <c r="A31" s="17">
        <v>21</v>
      </c>
      <c r="B31" s="27">
        <v>46032</v>
      </c>
      <c r="C31" s="6" t="s">
        <v>91</v>
      </c>
      <c r="D31" s="71" t="s">
        <v>2390</v>
      </c>
      <c r="E31" s="20" t="s">
        <v>92</v>
      </c>
      <c r="F31" s="21">
        <v>28021986</v>
      </c>
      <c r="G31" s="21" t="str">
        <f t="shared" si="0"/>
        <v>1986</v>
      </c>
      <c r="H31" s="22">
        <f t="shared" si="1"/>
        <v>40</v>
      </c>
      <c r="I31" s="23" t="s">
        <v>27</v>
      </c>
      <c r="J31" s="20"/>
      <c r="K31" s="6" t="s">
        <v>32</v>
      </c>
      <c r="L31" s="25"/>
      <c r="M31" s="46" t="s">
        <v>93</v>
      </c>
      <c r="N31" s="6"/>
      <c r="O31" s="6" t="s">
        <v>94</v>
      </c>
      <c r="P31" s="6">
        <v>150</v>
      </c>
      <c r="Q31" s="6">
        <v>50</v>
      </c>
      <c r="R31" s="26">
        <v>76</v>
      </c>
      <c r="S31" s="26">
        <v>9</v>
      </c>
      <c r="T31" s="26">
        <v>8</v>
      </c>
      <c r="U31" s="26"/>
    </row>
    <row r="32" spans="1:21">
      <c r="A32" s="20">
        <v>22</v>
      </c>
      <c r="B32" s="27">
        <v>46032</v>
      </c>
      <c r="C32" s="6" t="s">
        <v>95</v>
      </c>
      <c r="D32" s="71" t="s">
        <v>2391</v>
      </c>
      <c r="E32" s="20" t="s">
        <v>40</v>
      </c>
      <c r="F32" s="21">
        <v>20031963</v>
      </c>
      <c r="G32" s="21" t="str">
        <f t="shared" si="0"/>
        <v>1963</v>
      </c>
      <c r="H32" s="22">
        <f t="shared" si="1"/>
        <v>63</v>
      </c>
      <c r="I32" s="23"/>
      <c r="J32" s="20" t="s">
        <v>27</v>
      </c>
      <c r="K32" s="6" t="s">
        <v>32</v>
      </c>
      <c r="L32" s="25"/>
      <c r="M32" s="45" t="s">
        <v>96</v>
      </c>
      <c r="N32" s="6"/>
      <c r="O32" s="6" t="s">
        <v>97</v>
      </c>
      <c r="P32" s="4">
        <v>150</v>
      </c>
      <c r="Q32" s="6">
        <v>49</v>
      </c>
      <c r="R32" s="26">
        <v>86</v>
      </c>
      <c r="S32" s="26">
        <v>5</v>
      </c>
      <c r="T32" s="26">
        <v>6</v>
      </c>
      <c r="U32" s="26"/>
    </row>
    <row r="33" spans="1:21">
      <c r="A33" s="17">
        <v>23</v>
      </c>
      <c r="B33" s="27">
        <v>46032</v>
      </c>
      <c r="C33" s="6" t="s">
        <v>98</v>
      </c>
      <c r="D33" s="71" t="s">
        <v>2387</v>
      </c>
      <c r="E33" s="20" t="s">
        <v>40</v>
      </c>
      <c r="F33" s="21">
        <v>2081956</v>
      </c>
      <c r="G33" s="21" t="str">
        <f t="shared" si="0"/>
        <v>1956</v>
      </c>
      <c r="H33" s="22">
        <f t="shared" si="1"/>
        <v>70</v>
      </c>
      <c r="I33" s="23" t="s">
        <v>27</v>
      </c>
      <c r="J33" s="20"/>
      <c r="K33" s="6" t="s">
        <v>32</v>
      </c>
      <c r="M33" s="45" t="s">
        <v>99</v>
      </c>
      <c r="N33" s="6"/>
      <c r="O33" s="6" t="s">
        <v>100</v>
      </c>
      <c r="P33" s="6">
        <v>167</v>
      </c>
      <c r="Q33" s="6">
        <v>52</v>
      </c>
      <c r="R33" s="26">
        <v>92</v>
      </c>
      <c r="S33" s="26">
        <v>4</v>
      </c>
      <c r="T33" s="26">
        <v>4</v>
      </c>
      <c r="U33" s="26"/>
    </row>
    <row r="34" spans="1:21">
      <c r="A34" s="20">
        <v>24</v>
      </c>
      <c r="B34" s="27">
        <v>46032</v>
      </c>
      <c r="C34" s="6" t="s">
        <v>101</v>
      </c>
      <c r="D34" s="71" t="s">
        <v>2390</v>
      </c>
      <c r="E34" s="20" t="s">
        <v>40</v>
      </c>
      <c r="F34" s="21">
        <v>20101959</v>
      </c>
      <c r="G34" s="21" t="str">
        <f t="shared" si="0"/>
        <v>1959</v>
      </c>
      <c r="H34" s="22">
        <f t="shared" si="1"/>
        <v>67</v>
      </c>
      <c r="I34" s="23" t="s">
        <v>27</v>
      </c>
      <c r="J34" s="20"/>
      <c r="K34" s="6" t="s">
        <v>102</v>
      </c>
      <c r="L34" s="25"/>
      <c r="M34" s="45" t="s">
        <v>103</v>
      </c>
      <c r="N34" s="6"/>
      <c r="O34" s="6" t="s">
        <v>104</v>
      </c>
      <c r="P34" s="6"/>
      <c r="Q34" s="6"/>
      <c r="R34" s="26">
        <v>84</v>
      </c>
      <c r="S34" s="26">
        <v>5</v>
      </c>
      <c r="T34" s="26">
        <v>6</v>
      </c>
      <c r="U34" s="26"/>
    </row>
    <row r="35" spans="1:21">
      <c r="A35" s="17">
        <v>25</v>
      </c>
      <c r="B35" s="27">
        <v>46032</v>
      </c>
      <c r="C35" s="6" t="s">
        <v>105</v>
      </c>
      <c r="D35" s="71" t="s">
        <v>2389</v>
      </c>
      <c r="E35" s="20" t="s">
        <v>40</v>
      </c>
      <c r="F35" s="21">
        <v>1011959</v>
      </c>
      <c r="G35" s="21" t="str">
        <f t="shared" si="0"/>
        <v>1959</v>
      </c>
      <c r="H35" s="22">
        <f t="shared" si="1"/>
        <v>67</v>
      </c>
      <c r="I35" s="23"/>
      <c r="J35" s="20" t="s">
        <v>27</v>
      </c>
      <c r="K35" s="6" t="s">
        <v>102</v>
      </c>
      <c r="L35" s="25"/>
      <c r="M35" s="45" t="s">
        <v>106</v>
      </c>
      <c r="N35" s="6"/>
      <c r="O35" s="6" t="s">
        <v>87</v>
      </c>
      <c r="P35" s="6">
        <v>150</v>
      </c>
      <c r="Q35" s="6">
        <v>57</v>
      </c>
      <c r="R35" s="26">
        <v>80</v>
      </c>
      <c r="S35" s="26">
        <v>5</v>
      </c>
      <c r="T35" s="26">
        <v>4</v>
      </c>
      <c r="U35" s="26"/>
    </row>
    <row r="36" spans="1:21">
      <c r="A36" s="20">
        <v>26</v>
      </c>
      <c r="B36" s="27">
        <v>46032</v>
      </c>
      <c r="C36" s="6" t="s">
        <v>107</v>
      </c>
      <c r="D36" s="71" t="s">
        <v>2391</v>
      </c>
      <c r="E36" s="20" t="s">
        <v>40</v>
      </c>
      <c r="F36" s="21">
        <v>30121954</v>
      </c>
      <c r="G36" s="21" t="str">
        <f t="shared" si="0"/>
        <v>1954</v>
      </c>
      <c r="H36" s="22">
        <f t="shared" si="1"/>
        <v>72</v>
      </c>
      <c r="I36" s="23"/>
      <c r="J36" s="20" t="s">
        <v>27</v>
      </c>
      <c r="K36" s="6" t="s">
        <v>102</v>
      </c>
      <c r="M36" s="46" t="s">
        <v>108</v>
      </c>
      <c r="N36" s="6"/>
      <c r="O36" s="6" t="s">
        <v>60</v>
      </c>
      <c r="P36" s="6">
        <v>150</v>
      </c>
      <c r="Q36" s="6">
        <v>54</v>
      </c>
      <c r="R36" s="26">
        <v>70</v>
      </c>
      <c r="S36" s="26" t="s">
        <v>109</v>
      </c>
      <c r="T36" s="26">
        <v>3</v>
      </c>
      <c r="U36" s="26"/>
    </row>
    <row r="37" spans="1:21">
      <c r="A37" s="17">
        <v>27</v>
      </c>
      <c r="B37" s="27">
        <v>46032</v>
      </c>
      <c r="C37" s="6" t="s">
        <v>110</v>
      </c>
      <c r="D37" s="71" t="s">
        <v>2388</v>
      </c>
      <c r="E37" s="20" t="s">
        <v>111</v>
      </c>
      <c r="F37" s="21">
        <v>20082013</v>
      </c>
      <c r="G37" s="21" t="str">
        <f t="shared" si="0"/>
        <v>2013</v>
      </c>
      <c r="H37" s="22">
        <f t="shared" si="1"/>
        <v>13</v>
      </c>
      <c r="I37" s="23" t="s">
        <v>27</v>
      </c>
      <c r="J37" s="20"/>
      <c r="K37" s="6" t="s">
        <v>32</v>
      </c>
      <c r="L37" s="25"/>
      <c r="M37" s="46" t="s">
        <v>112</v>
      </c>
      <c r="N37" s="6"/>
      <c r="O37" s="6" t="s">
        <v>113</v>
      </c>
      <c r="P37" s="6">
        <v>153</v>
      </c>
      <c r="Q37" s="6">
        <v>39</v>
      </c>
      <c r="R37" s="26">
        <v>73</v>
      </c>
      <c r="S37" s="26"/>
      <c r="T37" s="26"/>
      <c r="U37" s="26"/>
    </row>
    <row r="38" spans="1:21">
      <c r="A38" s="20">
        <v>28</v>
      </c>
      <c r="B38" s="27">
        <v>46032</v>
      </c>
      <c r="C38" s="6" t="s">
        <v>114</v>
      </c>
      <c r="D38" s="71" t="s">
        <v>2386</v>
      </c>
      <c r="E38" s="20" t="s">
        <v>40</v>
      </c>
      <c r="F38" s="21">
        <v>4011928</v>
      </c>
      <c r="G38" s="21" t="str">
        <f t="shared" si="0"/>
        <v>1928</v>
      </c>
      <c r="H38" s="22">
        <f t="shared" si="1"/>
        <v>98</v>
      </c>
      <c r="I38" s="23" t="s">
        <v>27</v>
      </c>
      <c r="J38" s="20"/>
      <c r="K38" s="6" t="s">
        <v>115</v>
      </c>
      <c r="L38" s="25"/>
      <c r="M38" s="45" t="s">
        <v>116</v>
      </c>
      <c r="N38" s="6"/>
      <c r="O38" s="6" t="s">
        <v>87</v>
      </c>
      <c r="P38" s="6">
        <v>165</v>
      </c>
      <c r="Q38" s="6">
        <v>55</v>
      </c>
      <c r="R38" s="26">
        <v>74</v>
      </c>
      <c r="S38" s="26">
        <v>1</v>
      </c>
      <c r="T38" s="26" t="s">
        <v>117</v>
      </c>
      <c r="U38" s="26"/>
    </row>
    <row r="39" spans="1:21">
      <c r="A39" s="17">
        <v>29</v>
      </c>
      <c r="B39" s="27">
        <v>46032</v>
      </c>
      <c r="C39" s="6" t="s">
        <v>118</v>
      </c>
      <c r="D39" s="71" t="s">
        <v>2392</v>
      </c>
      <c r="E39" s="20" t="s">
        <v>40</v>
      </c>
      <c r="F39" s="21">
        <v>1954</v>
      </c>
      <c r="G39" s="21" t="str">
        <f t="shared" si="0"/>
        <v>1954</v>
      </c>
      <c r="H39" s="22">
        <f t="shared" si="1"/>
        <v>72</v>
      </c>
      <c r="I39" s="23"/>
      <c r="J39" s="20" t="s">
        <v>27</v>
      </c>
      <c r="K39" s="6" t="s">
        <v>115</v>
      </c>
      <c r="L39" s="25"/>
      <c r="M39" s="45" t="s">
        <v>119</v>
      </c>
      <c r="N39" s="6"/>
      <c r="O39" s="6" t="s">
        <v>34</v>
      </c>
      <c r="P39" s="6">
        <v>150</v>
      </c>
      <c r="Q39" s="6">
        <v>45</v>
      </c>
      <c r="R39" s="26">
        <v>76</v>
      </c>
      <c r="S39" s="26">
        <v>3</v>
      </c>
      <c r="T39" s="26">
        <v>2</v>
      </c>
      <c r="U39" s="26"/>
    </row>
    <row r="40" spans="1:21">
      <c r="A40" s="20">
        <v>30</v>
      </c>
      <c r="B40" s="27">
        <v>46032</v>
      </c>
      <c r="C40" s="6" t="s">
        <v>120</v>
      </c>
      <c r="D40" s="71" t="s">
        <v>2393</v>
      </c>
      <c r="E40" s="20" t="s">
        <v>40</v>
      </c>
      <c r="F40" s="21">
        <v>20041954</v>
      </c>
      <c r="G40" s="21" t="str">
        <f t="shared" si="0"/>
        <v>1954</v>
      </c>
      <c r="H40" s="22">
        <f t="shared" si="1"/>
        <v>72</v>
      </c>
      <c r="I40" s="23"/>
      <c r="J40" s="20" t="s">
        <v>27</v>
      </c>
      <c r="K40" s="6" t="s">
        <v>115</v>
      </c>
      <c r="L40" s="25"/>
      <c r="M40" s="45" t="s">
        <v>121</v>
      </c>
      <c r="N40" s="6"/>
      <c r="O40" s="6" t="s">
        <v>87</v>
      </c>
      <c r="P40" s="6">
        <v>120</v>
      </c>
      <c r="Q40" s="6">
        <v>33</v>
      </c>
      <c r="R40" s="26">
        <v>74</v>
      </c>
      <c r="S40" s="26" t="s">
        <v>122</v>
      </c>
      <c r="T40" s="26" t="s">
        <v>122</v>
      </c>
      <c r="U40" s="26"/>
    </row>
    <row r="41" spans="1:21">
      <c r="A41" s="17">
        <v>31</v>
      </c>
      <c r="B41" s="27">
        <v>46032</v>
      </c>
      <c r="C41" s="6" t="s">
        <v>123</v>
      </c>
      <c r="D41" s="71" t="s">
        <v>2394</v>
      </c>
      <c r="E41" s="20" t="s">
        <v>40</v>
      </c>
      <c r="F41" s="21">
        <v>10071953</v>
      </c>
      <c r="G41" s="21" t="str">
        <f t="shared" si="0"/>
        <v>1953</v>
      </c>
      <c r="H41" s="22">
        <f t="shared" si="1"/>
        <v>73</v>
      </c>
      <c r="I41" s="23" t="s">
        <v>27</v>
      </c>
      <c r="J41" s="20"/>
      <c r="K41" s="6" t="s">
        <v>32</v>
      </c>
      <c r="L41" s="25"/>
      <c r="M41" s="45" t="s">
        <v>124</v>
      </c>
      <c r="N41" s="6"/>
      <c r="O41" s="6" t="s">
        <v>125</v>
      </c>
      <c r="P41" s="6">
        <v>158</v>
      </c>
      <c r="Q41" s="6">
        <v>49</v>
      </c>
      <c r="R41" s="26">
        <v>73</v>
      </c>
      <c r="S41" s="26">
        <v>1</v>
      </c>
      <c r="T41" s="26">
        <v>1</v>
      </c>
      <c r="U41" s="26"/>
    </row>
    <row r="42" spans="1:21">
      <c r="A42" s="20">
        <v>32</v>
      </c>
      <c r="B42" s="27">
        <v>46032</v>
      </c>
      <c r="C42" s="6" t="s">
        <v>126</v>
      </c>
      <c r="D42" s="71" t="s">
        <v>2395</v>
      </c>
      <c r="E42" s="20" t="s">
        <v>40</v>
      </c>
      <c r="F42" s="21">
        <v>4101943</v>
      </c>
      <c r="G42" s="21" t="str">
        <f t="shared" si="0"/>
        <v>1943</v>
      </c>
      <c r="H42" s="22">
        <f t="shared" si="1"/>
        <v>83</v>
      </c>
      <c r="I42" s="23"/>
      <c r="J42" s="20" t="s">
        <v>27</v>
      </c>
      <c r="K42" s="6" t="s">
        <v>115</v>
      </c>
      <c r="L42" s="25"/>
      <c r="M42" s="45" t="s">
        <v>127</v>
      </c>
      <c r="N42" s="6"/>
      <c r="O42" s="6" t="s">
        <v>128</v>
      </c>
      <c r="P42" s="6">
        <v>142</v>
      </c>
      <c r="Q42" s="6">
        <v>40</v>
      </c>
      <c r="R42" s="26">
        <v>68</v>
      </c>
      <c r="S42" s="26" t="s">
        <v>129</v>
      </c>
      <c r="T42" s="26" t="s">
        <v>130</v>
      </c>
      <c r="U42" s="26"/>
    </row>
    <row r="43" spans="1:21">
      <c r="A43" s="17">
        <v>33</v>
      </c>
      <c r="B43" s="27">
        <v>46032</v>
      </c>
      <c r="C43" s="6" t="s">
        <v>131</v>
      </c>
      <c r="D43" s="71" t="s">
        <v>2396</v>
      </c>
      <c r="E43" s="20" t="s">
        <v>40</v>
      </c>
      <c r="F43" s="21">
        <v>10061947</v>
      </c>
      <c r="G43" s="21" t="str">
        <f t="shared" ref="G43:G74" si="2">RIGHT(F43,4)</f>
        <v>1947</v>
      </c>
      <c r="H43" s="22">
        <f t="shared" si="1"/>
        <v>79</v>
      </c>
      <c r="I43" s="23"/>
      <c r="J43" s="20" t="s">
        <v>27</v>
      </c>
      <c r="K43" s="6" t="s">
        <v>115</v>
      </c>
      <c r="L43" s="25"/>
      <c r="M43" s="45" t="s">
        <v>132</v>
      </c>
      <c r="N43" s="6"/>
      <c r="O43" s="6" t="s">
        <v>133</v>
      </c>
      <c r="P43" s="6">
        <v>148</v>
      </c>
      <c r="Q43" s="6">
        <v>46</v>
      </c>
      <c r="R43" s="26">
        <v>89</v>
      </c>
      <c r="S43" s="26">
        <v>3</v>
      </c>
      <c r="T43" s="26">
        <v>1</v>
      </c>
      <c r="U43" s="26"/>
    </row>
    <row r="44" spans="1:21">
      <c r="A44" s="20">
        <v>34</v>
      </c>
      <c r="B44" s="27">
        <v>46032</v>
      </c>
      <c r="C44" s="6" t="s">
        <v>134</v>
      </c>
      <c r="D44" s="71" t="s">
        <v>2397</v>
      </c>
      <c r="E44" s="20" t="s">
        <v>2374</v>
      </c>
      <c r="F44" s="21">
        <v>9011999</v>
      </c>
      <c r="G44" s="21" t="str">
        <f t="shared" si="2"/>
        <v>1999</v>
      </c>
      <c r="H44" s="22">
        <f t="shared" si="1"/>
        <v>27</v>
      </c>
      <c r="I44" s="23" t="s">
        <v>27</v>
      </c>
      <c r="J44" s="20"/>
      <c r="K44" s="6" t="s">
        <v>28</v>
      </c>
      <c r="L44" s="25"/>
      <c r="M44" s="45" t="s">
        <v>135</v>
      </c>
      <c r="N44" s="6"/>
      <c r="O44" s="6" t="s">
        <v>136</v>
      </c>
      <c r="P44" s="6">
        <v>176</v>
      </c>
      <c r="Q44" s="6">
        <v>54</v>
      </c>
      <c r="R44" s="26">
        <v>80</v>
      </c>
      <c r="S44" s="26">
        <v>10</v>
      </c>
      <c r="T44" s="26">
        <v>10</v>
      </c>
      <c r="U44" s="26"/>
    </row>
    <row r="45" spans="1:21">
      <c r="A45" s="17">
        <v>35</v>
      </c>
      <c r="B45" s="27">
        <v>46032</v>
      </c>
      <c r="C45" s="6" t="s">
        <v>137</v>
      </c>
      <c r="D45" s="71" t="s">
        <v>2398</v>
      </c>
      <c r="E45" s="20" t="s">
        <v>40</v>
      </c>
      <c r="F45" s="21">
        <v>6021952</v>
      </c>
      <c r="G45" s="21" t="str">
        <f t="shared" si="2"/>
        <v>1952</v>
      </c>
      <c r="H45" s="22">
        <f t="shared" si="1"/>
        <v>74</v>
      </c>
      <c r="I45" s="23"/>
      <c r="J45" s="20" t="s">
        <v>27</v>
      </c>
      <c r="K45" s="6" t="s">
        <v>115</v>
      </c>
      <c r="L45" s="25"/>
      <c r="M45" s="45" t="s">
        <v>138</v>
      </c>
      <c r="N45" s="6"/>
      <c r="O45" s="6" t="s">
        <v>139</v>
      </c>
      <c r="P45" s="6">
        <v>153</v>
      </c>
      <c r="Q45" s="6">
        <v>36</v>
      </c>
      <c r="R45" s="26">
        <v>91</v>
      </c>
      <c r="S45" s="26">
        <v>5</v>
      </c>
      <c r="T45" s="26">
        <v>4</v>
      </c>
      <c r="U45" s="26"/>
    </row>
    <row r="46" spans="1:21">
      <c r="A46" s="20">
        <v>36</v>
      </c>
      <c r="B46" s="27">
        <v>46032</v>
      </c>
      <c r="C46" s="6" t="s">
        <v>140</v>
      </c>
      <c r="D46" s="71" t="s">
        <v>2399</v>
      </c>
      <c r="E46" s="20" t="s">
        <v>2374</v>
      </c>
      <c r="F46" s="21">
        <v>12071987</v>
      </c>
      <c r="G46" s="21" t="str">
        <f t="shared" si="2"/>
        <v>1987</v>
      </c>
      <c r="H46" s="22">
        <f t="shared" si="1"/>
        <v>39</v>
      </c>
      <c r="I46" s="23"/>
      <c r="J46" s="20" t="s">
        <v>27</v>
      </c>
      <c r="K46" s="6" t="s">
        <v>28</v>
      </c>
      <c r="L46" s="25"/>
      <c r="M46" s="45" t="s">
        <v>141</v>
      </c>
      <c r="N46" s="6"/>
      <c r="O46" s="6" t="s">
        <v>113</v>
      </c>
      <c r="P46" s="6">
        <v>145</v>
      </c>
      <c r="Q46" s="6">
        <v>55</v>
      </c>
      <c r="R46" s="26">
        <v>75</v>
      </c>
      <c r="S46" s="26">
        <v>9</v>
      </c>
      <c r="T46" s="26">
        <v>9</v>
      </c>
      <c r="U46" s="26"/>
    </row>
    <row r="47" spans="1:21">
      <c r="A47" s="17">
        <v>37</v>
      </c>
      <c r="B47" s="27">
        <v>46032</v>
      </c>
      <c r="C47" s="6" t="s">
        <v>107</v>
      </c>
      <c r="D47" s="71" t="s">
        <v>2400</v>
      </c>
      <c r="E47" s="20" t="s">
        <v>40</v>
      </c>
      <c r="F47" s="21">
        <v>12071962</v>
      </c>
      <c r="G47" s="21" t="str">
        <f t="shared" si="2"/>
        <v>1962</v>
      </c>
      <c r="H47" s="22">
        <f t="shared" si="1"/>
        <v>64</v>
      </c>
      <c r="I47" s="23"/>
      <c r="J47" s="20" t="s">
        <v>27</v>
      </c>
      <c r="K47" s="6" t="s">
        <v>28</v>
      </c>
      <c r="L47" s="25"/>
      <c r="M47" s="45" t="s">
        <v>142</v>
      </c>
      <c r="N47" s="6"/>
      <c r="O47" s="6" t="s">
        <v>143</v>
      </c>
      <c r="P47" s="6">
        <v>151</v>
      </c>
      <c r="Q47" s="6">
        <v>49</v>
      </c>
      <c r="R47" s="26">
        <v>75</v>
      </c>
      <c r="S47" s="26">
        <v>6</v>
      </c>
      <c r="T47" s="26">
        <v>6</v>
      </c>
      <c r="U47" s="26"/>
    </row>
    <row r="48" spans="1:21">
      <c r="A48" s="20">
        <v>38</v>
      </c>
      <c r="B48" s="27">
        <v>46032</v>
      </c>
      <c r="C48" s="6" t="s">
        <v>144</v>
      </c>
      <c r="D48" s="71" t="s">
        <v>2401</v>
      </c>
      <c r="E48" s="20" t="s">
        <v>2374</v>
      </c>
      <c r="F48" s="21">
        <v>8071972</v>
      </c>
      <c r="G48" s="21" t="str">
        <f t="shared" si="2"/>
        <v>1972</v>
      </c>
      <c r="H48" s="22">
        <f t="shared" si="1"/>
        <v>54</v>
      </c>
      <c r="I48" s="23"/>
      <c r="J48" s="20" t="s">
        <v>27</v>
      </c>
      <c r="K48" s="6" t="s">
        <v>115</v>
      </c>
      <c r="L48" s="25"/>
      <c r="M48" s="45" t="s">
        <v>145</v>
      </c>
      <c r="N48" s="6"/>
      <c r="O48" s="6" t="s">
        <v>146</v>
      </c>
      <c r="P48" s="6">
        <v>140</v>
      </c>
      <c r="Q48" s="6">
        <v>40</v>
      </c>
      <c r="R48" s="26">
        <v>75</v>
      </c>
      <c r="S48" s="26">
        <v>6</v>
      </c>
      <c r="T48" s="26">
        <v>5</v>
      </c>
      <c r="U48" s="26"/>
    </row>
    <row r="49" spans="1:21">
      <c r="A49" s="17">
        <v>39</v>
      </c>
      <c r="B49" s="27">
        <v>46032</v>
      </c>
      <c r="C49" s="6" t="s">
        <v>147</v>
      </c>
      <c r="D49" s="71" t="s">
        <v>2396</v>
      </c>
      <c r="E49" s="20" t="s">
        <v>40</v>
      </c>
      <c r="F49" s="21">
        <v>2071934</v>
      </c>
      <c r="G49" s="21" t="str">
        <f t="shared" si="2"/>
        <v>1934</v>
      </c>
      <c r="H49" s="22">
        <f t="shared" si="1"/>
        <v>92</v>
      </c>
      <c r="I49" s="23"/>
      <c r="J49" s="20" t="s">
        <v>27</v>
      </c>
      <c r="K49" s="6" t="s">
        <v>115</v>
      </c>
      <c r="L49" s="25"/>
      <c r="M49" s="46" t="s">
        <v>148</v>
      </c>
      <c r="N49" s="6"/>
      <c r="O49" s="6" t="s">
        <v>149</v>
      </c>
      <c r="P49" s="6">
        <v>150</v>
      </c>
      <c r="Q49" s="6">
        <v>40</v>
      </c>
      <c r="R49" s="26">
        <v>79</v>
      </c>
      <c r="S49" s="26" t="s">
        <v>150</v>
      </c>
      <c r="T49" s="26" t="s">
        <v>129</v>
      </c>
      <c r="U49" s="26"/>
    </row>
    <row r="50" spans="1:21">
      <c r="A50" s="20">
        <v>40</v>
      </c>
      <c r="B50" s="27">
        <v>46032</v>
      </c>
      <c r="C50" s="6" t="s">
        <v>151</v>
      </c>
      <c r="D50" s="71" t="s">
        <v>2397</v>
      </c>
      <c r="E50" s="20" t="s">
        <v>40</v>
      </c>
      <c r="F50" s="21">
        <v>7031955</v>
      </c>
      <c r="G50" s="21" t="str">
        <f t="shared" si="2"/>
        <v>1955</v>
      </c>
      <c r="H50" s="22">
        <f t="shared" si="1"/>
        <v>71</v>
      </c>
      <c r="I50" s="23"/>
      <c r="J50" s="20" t="s">
        <v>27</v>
      </c>
      <c r="K50" s="6" t="s">
        <v>115</v>
      </c>
      <c r="L50" s="25"/>
      <c r="M50" s="45" t="s">
        <v>152</v>
      </c>
      <c r="N50" s="6"/>
      <c r="O50" s="6" t="s">
        <v>153</v>
      </c>
      <c r="P50" s="6">
        <v>148</v>
      </c>
      <c r="Q50" s="6">
        <v>54</v>
      </c>
      <c r="R50" s="26">
        <v>73</v>
      </c>
      <c r="S50" s="26">
        <v>5</v>
      </c>
      <c r="T50" s="26">
        <v>6</v>
      </c>
      <c r="U50" s="26"/>
    </row>
    <row r="51" spans="1:21">
      <c r="A51" s="17">
        <v>41</v>
      </c>
      <c r="B51" s="27">
        <v>46032</v>
      </c>
      <c r="C51" s="6" t="s">
        <v>154</v>
      </c>
      <c r="D51" s="71" t="s">
        <v>2392</v>
      </c>
      <c r="E51" s="20" t="s">
        <v>40</v>
      </c>
      <c r="F51" s="21">
        <v>20101955</v>
      </c>
      <c r="G51" s="21" t="str">
        <f t="shared" si="2"/>
        <v>1955</v>
      </c>
      <c r="H51" s="22">
        <f t="shared" si="1"/>
        <v>71</v>
      </c>
      <c r="I51" s="23"/>
      <c r="J51" s="20" t="s">
        <v>27</v>
      </c>
      <c r="K51" s="6" t="s">
        <v>115</v>
      </c>
      <c r="L51" s="25"/>
      <c r="M51" s="45" t="s">
        <v>155</v>
      </c>
      <c r="N51" s="6"/>
      <c r="O51" s="6" t="s">
        <v>146</v>
      </c>
      <c r="P51" s="6">
        <v>150</v>
      </c>
      <c r="Q51" s="6">
        <v>45</v>
      </c>
      <c r="R51" s="26">
        <v>76</v>
      </c>
      <c r="S51" s="26" t="s">
        <v>156</v>
      </c>
      <c r="T51" s="26" t="s">
        <v>156</v>
      </c>
      <c r="U51" s="26"/>
    </row>
    <row r="52" spans="1:21">
      <c r="A52" s="20">
        <v>42</v>
      </c>
      <c r="B52" s="27">
        <v>46032</v>
      </c>
      <c r="C52" s="6" t="s">
        <v>120</v>
      </c>
      <c r="D52" s="71" t="s">
        <v>2393</v>
      </c>
      <c r="E52" s="20" t="s">
        <v>2374</v>
      </c>
      <c r="F52" s="21">
        <v>20111972</v>
      </c>
      <c r="G52" s="21" t="str">
        <f t="shared" si="2"/>
        <v>1972</v>
      </c>
      <c r="H52" s="22">
        <f t="shared" si="1"/>
        <v>54</v>
      </c>
      <c r="I52" s="23"/>
      <c r="J52" s="20" t="s">
        <v>27</v>
      </c>
      <c r="K52" s="6" t="s">
        <v>115</v>
      </c>
      <c r="L52" s="25"/>
      <c r="M52" s="45" t="s">
        <v>157</v>
      </c>
      <c r="N52" s="6"/>
      <c r="O52" s="6" t="s">
        <v>34</v>
      </c>
      <c r="P52" s="6">
        <v>155</v>
      </c>
      <c r="Q52" s="6">
        <v>52</v>
      </c>
      <c r="R52" s="26">
        <v>74</v>
      </c>
      <c r="S52" s="26">
        <v>7</v>
      </c>
      <c r="T52" s="26">
        <v>7</v>
      </c>
      <c r="U52" s="26"/>
    </row>
    <row r="53" spans="1:21">
      <c r="A53" s="17">
        <v>43</v>
      </c>
      <c r="B53" s="27">
        <v>46032</v>
      </c>
      <c r="C53" s="6" t="s">
        <v>158</v>
      </c>
      <c r="D53" s="71" t="s">
        <v>2401</v>
      </c>
      <c r="E53" s="20" t="s">
        <v>2374</v>
      </c>
      <c r="F53" s="21">
        <v>6011975</v>
      </c>
      <c r="G53" s="21" t="str">
        <f t="shared" si="2"/>
        <v>1975</v>
      </c>
      <c r="H53" s="22">
        <f t="shared" si="1"/>
        <v>51</v>
      </c>
      <c r="I53" s="23"/>
      <c r="J53" s="20" t="s">
        <v>27</v>
      </c>
      <c r="K53" s="6" t="s">
        <v>32</v>
      </c>
      <c r="L53" s="25"/>
      <c r="M53" s="45" t="s">
        <v>159</v>
      </c>
      <c r="N53" s="6"/>
      <c r="O53" s="6" t="s">
        <v>113</v>
      </c>
      <c r="P53" s="6">
        <v>140</v>
      </c>
      <c r="Q53" s="6">
        <v>51</v>
      </c>
      <c r="R53" s="26">
        <v>74</v>
      </c>
      <c r="S53" s="26">
        <v>7</v>
      </c>
      <c r="T53" s="26">
        <v>7</v>
      </c>
      <c r="U53" s="26"/>
    </row>
    <row r="54" spans="1:21">
      <c r="A54" s="20">
        <v>44</v>
      </c>
      <c r="B54" s="27">
        <v>46032</v>
      </c>
      <c r="C54" s="6" t="s">
        <v>160</v>
      </c>
      <c r="D54" s="71" t="s">
        <v>2394</v>
      </c>
      <c r="E54" s="20" t="s">
        <v>2374</v>
      </c>
      <c r="F54" s="21">
        <v>10021998</v>
      </c>
      <c r="G54" s="21" t="str">
        <f t="shared" si="2"/>
        <v>1998</v>
      </c>
      <c r="H54" s="22">
        <f t="shared" si="1"/>
        <v>28</v>
      </c>
      <c r="I54" s="23"/>
      <c r="J54" s="20" t="s">
        <v>27</v>
      </c>
      <c r="K54" s="6" t="s">
        <v>28</v>
      </c>
      <c r="L54" s="25"/>
      <c r="M54" s="45" t="s">
        <v>161</v>
      </c>
      <c r="N54" s="6"/>
      <c r="O54" s="6" t="s">
        <v>146</v>
      </c>
      <c r="P54" s="6">
        <v>151</v>
      </c>
      <c r="Q54" s="6">
        <v>50</v>
      </c>
      <c r="R54" s="26">
        <v>74</v>
      </c>
      <c r="S54" s="26">
        <v>10</v>
      </c>
      <c r="T54" s="26">
        <v>10</v>
      </c>
      <c r="U54" s="26"/>
    </row>
    <row r="55" spans="1:21">
      <c r="A55" s="17">
        <v>45</v>
      </c>
      <c r="B55" s="27">
        <v>46032</v>
      </c>
      <c r="C55" s="6" t="s">
        <v>162</v>
      </c>
      <c r="D55" s="71" t="s">
        <v>2395</v>
      </c>
      <c r="E55" s="20" t="s">
        <v>40</v>
      </c>
      <c r="F55" s="21">
        <v>3061937</v>
      </c>
      <c r="G55" s="21" t="str">
        <f t="shared" si="2"/>
        <v>1937</v>
      </c>
      <c r="H55" s="22">
        <f t="shared" si="1"/>
        <v>89</v>
      </c>
      <c r="I55" s="23"/>
      <c r="J55" s="20" t="s">
        <v>27</v>
      </c>
      <c r="K55" s="6" t="s">
        <v>115</v>
      </c>
      <c r="L55" s="25"/>
      <c r="M55" s="45" t="s">
        <v>163</v>
      </c>
      <c r="N55" s="6"/>
      <c r="O55" s="6" t="s">
        <v>149</v>
      </c>
      <c r="P55" s="6">
        <v>160</v>
      </c>
      <c r="Q55" s="6">
        <v>40</v>
      </c>
      <c r="R55" s="26">
        <v>73</v>
      </c>
      <c r="S55" s="26">
        <v>2</v>
      </c>
      <c r="T55" s="26">
        <v>2</v>
      </c>
      <c r="U55" s="26"/>
    </row>
    <row r="56" spans="1:21">
      <c r="A56" s="20">
        <v>46</v>
      </c>
      <c r="B56" s="27">
        <v>46032</v>
      </c>
      <c r="C56" s="6" t="s">
        <v>43</v>
      </c>
      <c r="D56" s="71" t="s">
        <v>2398</v>
      </c>
      <c r="E56" s="20" t="s">
        <v>40</v>
      </c>
      <c r="F56" s="21">
        <v>15061951</v>
      </c>
      <c r="G56" s="21" t="str">
        <f t="shared" si="2"/>
        <v>1951</v>
      </c>
      <c r="H56" s="22">
        <f t="shared" si="1"/>
        <v>75</v>
      </c>
      <c r="I56" s="23"/>
      <c r="J56" s="20" t="s">
        <v>27</v>
      </c>
      <c r="K56" s="6" t="s">
        <v>115</v>
      </c>
      <c r="L56" s="25"/>
      <c r="M56" s="45" t="s">
        <v>164</v>
      </c>
      <c r="N56" s="6"/>
      <c r="O56" s="6" t="s">
        <v>113</v>
      </c>
      <c r="P56" s="6">
        <v>155</v>
      </c>
      <c r="Q56" s="6">
        <v>55</v>
      </c>
      <c r="R56" s="26">
        <v>78</v>
      </c>
      <c r="S56" s="26">
        <v>4</v>
      </c>
      <c r="T56" s="26">
        <v>4</v>
      </c>
      <c r="U56" s="26"/>
    </row>
    <row r="57" spans="1:21">
      <c r="A57" s="17">
        <v>47</v>
      </c>
      <c r="B57" s="27">
        <v>46032</v>
      </c>
      <c r="C57" s="6" t="s">
        <v>165</v>
      </c>
      <c r="D57" s="71" t="s">
        <v>2399</v>
      </c>
      <c r="E57" s="20" t="s">
        <v>2374</v>
      </c>
      <c r="F57" s="21">
        <v>6071972</v>
      </c>
      <c r="G57" s="21" t="str">
        <f t="shared" si="2"/>
        <v>1972</v>
      </c>
      <c r="H57" s="22">
        <f t="shared" si="1"/>
        <v>54</v>
      </c>
      <c r="I57" s="23"/>
      <c r="J57" s="20" t="s">
        <v>27</v>
      </c>
      <c r="K57" s="6" t="s">
        <v>115</v>
      </c>
      <c r="L57" s="25"/>
      <c r="M57" s="45" t="s">
        <v>166</v>
      </c>
      <c r="N57" s="6"/>
      <c r="O57" s="6" t="s">
        <v>34</v>
      </c>
      <c r="P57" s="6">
        <v>148</v>
      </c>
      <c r="Q57" s="6">
        <v>57</v>
      </c>
      <c r="R57" s="26">
        <v>76</v>
      </c>
      <c r="S57" s="26">
        <v>7</v>
      </c>
      <c r="T57" s="26">
        <v>7</v>
      </c>
      <c r="U57" s="26"/>
    </row>
    <row r="58" spans="1:21">
      <c r="A58" s="20">
        <v>48</v>
      </c>
      <c r="B58" s="27">
        <v>46032</v>
      </c>
      <c r="C58" s="6" t="s">
        <v>167</v>
      </c>
      <c r="D58" s="71" t="s">
        <v>2400</v>
      </c>
      <c r="E58" s="20" t="s">
        <v>40</v>
      </c>
      <c r="F58" s="21">
        <v>12041960</v>
      </c>
      <c r="G58" s="21" t="str">
        <f t="shared" si="2"/>
        <v>1960</v>
      </c>
      <c r="H58" s="22">
        <f t="shared" si="1"/>
        <v>66</v>
      </c>
      <c r="I58" s="23" t="s">
        <v>27</v>
      </c>
      <c r="J58" s="20"/>
      <c r="K58" s="6" t="s">
        <v>32</v>
      </c>
      <c r="L58" s="25"/>
      <c r="M58" s="45" t="s">
        <v>168</v>
      </c>
      <c r="N58" s="6"/>
      <c r="O58" s="6" t="s">
        <v>169</v>
      </c>
      <c r="P58" s="6">
        <v>157</v>
      </c>
      <c r="Q58" s="6">
        <v>44</v>
      </c>
      <c r="R58" s="26">
        <v>82</v>
      </c>
      <c r="S58" s="26">
        <v>4</v>
      </c>
      <c r="T58" s="26">
        <v>4</v>
      </c>
      <c r="U58" s="26"/>
    </row>
    <row r="59" spans="1:21">
      <c r="A59" s="17">
        <v>49</v>
      </c>
      <c r="B59" s="27">
        <v>46032</v>
      </c>
      <c r="C59" s="6" t="s">
        <v>170</v>
      </c>
      <c r="D59" s="71" t="s">
        <v>2402</v>
      </c>
      <c r="E59" s="20" t="s">
        <v>40</v>
      </c>
      <c r="F59" s="21">
        <v>1031946</v>
      </c>
      <c r="G59" s="21" t="str">
        <f t="shared" si="2"/>
        <v>1946</v>
      </c>
      <c r="H59" s="22">
        <f t="shared" si="1"/>
        <v>80</v>
      </c>
      <c r="I59" s="23" t="s">
        <v>27</v>
      </c>
      <c r="J59" s="20"/>
      <c r="K59" s="6" t="s">
        <v>115</v>
      </c>
      <c r="L59" s="25"/>
      <c r="M59" s="45" t="s">
        <v>171</v>
      </c>
      <c r="O59" s="6" t="s">
        <v>172</v>
      </c>
      <c r="P59" s="6">
        <v>145</v>
      </c>
      <c r="Q59" s="6">
        <v>49</v>
      </c>
      <c r="R59" s="26">
        <v>65</v>
      </c>
      <c r="S59" s="26">
        <v>1</v>
      </c>
      <c r="T59" s="26" t="s">
        <v>156</v>
      </c>
      <c r="U59" s="26"/>
    </row>
    <row r="60" spans="1:21">
      <c r="A60" s="20">
        <v>50</v>
      </c>
      <c r="B60" s="27">
        <v>46032</v>
      </c>
      <c r="C60" s="6" t="s">
        <v>173</v>
      </c>
      <c r="D60" s="71" t="s">
        <v>2403</v>
      </c>
      <c r="E60" s="20" t="s">
        <v>40</v>
      </c>
      <c r="F60" s="21">
        <v>1011966</v>
      </c>
      <c r="G60" s="21" t="str">
        <f t="shared" si="2"/>
        <v>1966</v>
      </c>
      <c r="H60" s="22">
        <f t="shared" si="1"/>
        <v>60</v>
      </c>
      <c r="I60" s="23"/>
      <c r="J60" s="20" t="s">
        <v>27</v>
      </c>
      <c r="K60" s="6" t="s">
        <v>115</v>
      </c>
      <c r="L60" s="25"/>
      <c r="M60" s="45" t="s">
        <v>174</v>
      </c>
      <c r="N60" s="6"/>
      <c r="O60" s="6" t="s">
        <v>175</v>
      </c>
      <c r="P60" s="6">
        <v>152</v>
      </c>
      <c r="Q60" s="6">
        <v>40</v>
      </c>
      <c r="R60" s="26">
        <v>81</v>
      </c>
      <c r="S60" s="26">
        <v>4</v>
      </c>
      <c r="T60" s="26">
        <v>5</v>
      </c>
      <c r="U60" s="26"/>
    </row>
    <row r="61" spans="1:21">
      <c r="A61" s="17">
        <v>51</v>
      </c>
      <c r="B61" s="27">
        <v>46032</v>
      </c>
      <c r="C61" s="6" t="s">
        <v>176</v>
      </c>
      <c r="D61" s="71" t="s">
        <v>2404</v>
      </c>
      <c r="E61" s="20" t="s">
        <v>40</v>
      </c>
      <c r="F61" s="21">
        <v>10031949</v>
      </c>
      <c r="G61" s="21" t="str">
        <f t="shared" si="2"/>
        <v>1949</v>
      </c>
      <c r="H61" s="22">
        <f t="shared" si="1"/>
        <v>77</v>
      </c>
      <c r="I61" s="23"/>
      <c r="J61" s="20" t="s">
        <v>27</v>
      </c>
      <c r="K61" s="6" t="s">
        <v>115</v>
      </c>
      <c r="L61" s="25"/>
      <c r="M61" s="45" t="s">
        <v>177</v>
      </c>
      <c r="N61" s="6"/>
      <c r="O61" s="6" t="s">
        <v>113</v>
      </c>
      <c r="P61" s="6">
        <v>144</v>
      </c>
      <c r="Q61" s="6">
        <v>38</v>
      </c>
      <c r="R61" s="26">
        <v>77</v>
      </c>
      <c r="S61" s="26" t="s">
        <v>150</v>
      </c>
      <c r="T61" s="26" t="s">
        <v>150</v>
      </c>
      <c r="U61" s="26"/>
    </row>
    <row r="62" spans="1:21">
      <c r="A62" s="20">
        <v>52</v>
      </c>
      <c r="B62" s="27">
        <v>46032</v>
      </c>
      <c r="C62" s="6" t="s">
        <v>178</v>
      </c>
      <c r="D62" s="71" t="s">
        <v>2405</v>
      </c>
      <c r="E62" s="20" t="s">
        <v>92</v>
      </c>
      <c r="F62" s="21">
        <v>3101966</v>
      </c>
      <c r="G62" s="21" t="str">
        <f t="shared" si="2"/>
        <v>1966</v>
      </c>
      <c r="H62" s="22">
        <f t="shared" si="1"/>
        <v>60</v>
      </c>
      <c r="I62" s="23" t="s">
        <v>27</v>
      </c>
      <c r="J62" s="20"/>
      <c r="K62" s="6" t="s">
        <v>115</v>
      </c>
      <c r="L62" s="25"/>
      <c r="M62" s="45" t="s">
        <v>179</v>
      </c>
      <c r="N62" s="6"/>
      <c r="O62" s="6" t="s">
        <v>180</v>
      </c>
      <c r="P62" s="6">
        <v>160</v>
      </c>
      <c r="Q62" s="6">
        <v>50</v>
      </c>
      <c r="R62" s="26">
        <v>72</v>
      </c>
      <c r="S62" s="26" t="s">
        <v>150</v>
      </c>
      <c r="T62" s="26">
        <v>3</v>
      </c>
      <c r="U62" s="26"/>
    </row>
    <row r="63" spans="1:21">
      <c r="A63" s="17">
        <v>53</v>
      </c>
      <c r="B63" s="27">
        <v>46032</v>
      </c>
      <c r="C63" s="6" t="s">
        <v>181</v>
      </c>
      <c r="D63" s="71" t="s">
        <v>2402</v>
      </c>
      <c r="E63" s="20" t="s">
        <v>40</v>
      </c>
      <c r="F63" s="21">
        <v>1061947</v>
      </c>
      <c r="G63" s="21" t="str">
        <f t="shared" si="2"/>
        <v>1947</v>
      </c>
      <c r="H63" s="22">
        <f t="shared" si="1"/>
        <v>79</v>
      </c>
      <c r="I63" s="23"/>
      <c r="J63" s="20" t="s">
        <v>27</v>
      </c>
      <c r="K63" s="6" t="s">
        <v>115</v>
      </c>
      <c r="L63" s="25"/>
      <c r="M63" s="45" t="s">
        <v>182</v>
      </c>
      <c r="N63" s="6"/>
      <c r="O63" s="6" t="s">
        <v>183</v>
      </c>
      <c r="P63" s="6">
        <v>148</v>
      </c>
      <c r="Q63" s="6">
        <v>41</v>
      </c>
      <c r="R63" s="26">
        <v>76</v>
      </c>
      <c r="S63" s="26">
        <v>4</v>
      </c>
      <c r="T63" s="26">
        <v>5</v>
      </c>
      <c r="U63" s="26"/>
    </row>
    <row r="64" spans="1:21">
      <c r="A64" s="20">
        <v>54</v>
      </c>
      <c r="B64" s="27">
        <v>46032</v>
      </c>
      <c r="C64" s="6" t="s">
        <v>184</v>
      </c>
      <c r="D64" s="71" t="s">
        <v>2406</v>
      </c>
      <c r="E64" s="20" t="s">
        <v>2374</v>
      </c>
      <c r="F64" s="21">
        <v>26111999</v>
      </c>
      <c r="G64" s="21" t="str">
        <f t="shared" si="2"/>
        <v>1999</v>
      </c>
      <c r="H64" s="22">
        <f t="shared" si="1"/>
        <v>27</v>
      </c>
      <c r="I64" s="23" t="s">
        <v>27</v>
      </c>
      <c r="J64" s="20"/>
      <c r="K64" s="6" t="s">
        <v>28</v>
      </c>
      <c r="L64" s="25"/>
      <c r="M64" s="45" t="s">
        <v>185</v>
      </c>
      <c r="N64" s="6"/>
      <c r="O64" s="6" t="s">
        <v>186</v>
      </c>
      <c r="P64" s="6">
        <v>170</v>
      </c>
      <c r="Q64" s="6">
        <v>60</v>
      </c>
      <c r="R64" s="26">
        <v>82</v>
      </c>
      <c r="S64" s="26">
        <v>10</v>
      </c>
      <c r="T64" s="26">
        <v>10</v>
      </c>
      <c r="U64" s="26"/>
    </row>
    <row r="65" spans="1:21">
      <c r="A65" s="17">
        <v>55</v>
      </c>
      <c r="B65" s="27">
        <v>46032</v>
      </c>
      <c r="C65" s="6" t="s">
        <v>187</v>
      </c>
      <c r="D65" s="71" t="s">
        <v>2407</v>
      </c>
      <c r="E65" s="20" t="s">
        <v>92</v>
      </c>
      <c r="F65" s="21">
        <v>5121969</v>
      </c>
      <c r="G65" s="21" t="str">
        <f t="shared" si="2"/>
        <v>1969</v>
      </c>
      <c r="H65" s="22">
        <f t="shared" si="1"/>
        <v>57</v>
      </c>
      <c r="I65" s="23" t="s">
        <v>27</v>
      </c>
      <c r="J65" s="20"/>
      <c r="K65" s="6" t="s">
        <v>32</v>
      </c>
      <c r="L65" s="25"/>
      <c r="M65" s="45" t="s">
        <v>188</v>
      </c>
      <c r="N65" s="6"/>
      <c r="O65" s="6" t="s">
        <v>189</v>
      </c>
      <c r="P65" s="6">
        <v>157</v>
      </c>
      <c r="Q65" s="6">
        <v>44</v>
      </c>
      <c r="R65" s="26">
        <v>74</v>
      </c>
      <c r="S65" s="26">
        <v>4</v>
      </c>
      <c r="T65" s="26">
        <v>4</v>
      </c>
      <c r="U65" s="26"/>
    </row>
    <row r="66" spans="1:21">
      <c r="A66" s="20">
        <v>56</v>
      </c>
      <c r="B66" s="27">
        <v>46032</v>
      </c>
      <c r="C66" s="6" t="s">
        <v>190</v>
      </c>
      <c r="D66" s="71" t="s">
        <v>2403</v>
      </c>
      <c r="E66" s="20" t="s">
        <v>191</v>
      </c>
      <c r="F66" s="21">
        <v>1011950</v>
      </c>
      <c r="G66" s="21" t="str">
        <f t="shared" si="2"/>
        <v>1950</v>
      </c>
      <c r="H66" s="22">
        <f t="shared" si="1"/>
        <v>76</v>
      </c>
      <c r="I66" s="23"/>
      <c r="J66" s="20" t="s">
        <v>27</v>
      </c>
      <c r="K66" s="6" t="s">
        <v>32</v>
      </c>
      <c r="L66" s="25"/>
      <c r="M66" s="45" t="s">
        <v>192</v>
      </c>
      <c r="N66" s="6"/>
      <c r="O66" s="6" t="s">
        <v>193</v>
      </c>
      <c r="P66" s="6">
        <v>149</v>
      </c>
      <c r="Q66" s="6">
        <v>40</v>
      </c>
      <c r="R66" s="26">
        <v>99</v>
      </c>
      <c r="S66" s="26" t="s">
        <v>194</v>
      </c>
      <c r="T66" s="26" t="s">
        <v>150</v>
      </c>
      <c r="U66" s="26"/>
    </row>
    <row r="67" spans="1:21">
      <c r="A67" s="17">
        <v>57</v>
      </c>
      <c r="B67" s="27">
        <v>46032</v>
      </c>
      <c r="C67" s="6" t="s">
        <v>195</v>
      </c>
      <c r="D67" s="71" t="s">
        <v>2404</v>
      </c>
      <c r="E67" s="20" t="s">
        <v>2374</v>
      </c>
      <c r="F67" s="21">
        <v>19101972</v>
      </c>
      <c r="G67" s="21" t="str">
        <f t="shared" si="2"/>
        <v>1972</v>
      </c>
      <c r="H67" s="22">
        <f t="shared" si="1"/>
        <v>54</v>
      </c>
      <c r="I67" s="23" t="s">
        <v>27</v>
      </c>
      <c r="J67" s="20"/>
      <c r="K67" s="6" t="s">
        <v>32</v>
      </c>
      <c r="L67" s="45" t="s">
        <v>196</v>
      </c>
      <c r="M67" s="45" t="s">
        <v>197</v>
      </c>
      <c r="N67" s="6"/>
      <c r="O67" s="6" t="s">
        <v>87</v>
      </c>
      <c r="P67" s="6">
        <v>165</v>
      </c>
      <c r="Q67" s="6">
        <v>65</v>
      </c>
      <c r="R67" s="26">
        <v>80</v>
      </c>
      <c r="S67" s="26">
        <v>9</v>
      </c>
      <c r="T67" s="26">
        <v>8</v>
      </c>
      <c r="U67" s="26"/>
    </row>
    <row r="68" spans="1:21">
      <c r="A68" s="20">
        <v>58</v>
      </c>
      <c r="B68" s="27">
        <v>46032</v>
      </c>
      <c r="C68" s="6" t="s">
        <v>198</v>
      </c>
      <c r="D68" s="71" t="s">
        <v>2406</v>
      </c>
      <c r="E68" s="20" t="s">
        <v>40</v>
      </c>
      <c r="F68" s="21">
        <v>12071947</v>
      </c>
      <c r="G68" s="21" t="str">
        <f t="shared" si="2"/>
        <v>1947</v>
      </c>
      <c r="H68" s="22">
        <f t="shared" si="1"/>
        <v>79</v>
      </c>
      <c r="I68" s="23"/>
      <c r="J68" s="20" t="s">
        <v>27</v>
      </c>
      <c r="K68" s="6" t="s">
        <v>115</v>
      </c>
      <c r="L68" s="25"/>
      <c r="M68" s="45" t="s">
        <v>199</v>
      </c>
      <c r="N68" s="6"/>
      <c r="O68" s="6" t="s">
        <v>200</v>
      </c>
      <c r="P68" s="6">
        <v>150</v>
      </c>
      <c r="Q68" s="6">
        <v>62</v>
      </c>
      <c r="R68" s="26">
        <v>69</v>
      </c>
      <c r="S68" s="26">
        <v>5</v>
      </c>
      <c r="T68" s="26">
        <v>5</v>
      </c>
      <c r="U68" s="26"/>
    </row>
    <row r="69" spans="1:21">
      <c r="A69" s="17">
        <v>59</v>
      </c>
      <c r="B69" s="27">
        <v>46032</v>
      </c>
      <c r="C69" s="6" t="s">
        <v>201</v>
      </c>
      <c r="D69" s="71" t="s">
        <v>2405</v>
      </c>
      <c r="E69" s="20" t="s">
        <v>2374</v>
      </c>
      <c r="F69" s="21">
        <v>5031969</v>
      </c>
      <c r="G69" s="21" t="str">
        <f t="shared" si="2"/>
        <v>1969</v>
      </c>
      <c r="H69" s="22">
        <f t="shared" si="1"/>
        <v>57</v>
      </c>
      <c r="I69" s="23"/>
      <c r="J69" s="20" t="s">
        <v>27</v>
      </c>
      <c r="K69" s="6" t="s">
        <v>115</v>
      </c>
      <c r="L69" s="25"/>
      <c r="M69" s="45" t="s">
        <v>202</v>
      </c>
      <c r="N69" s="6"/>
      <c r="O69" s="6" t="s">
        <v>203</v>
      </c>
      <c r="P69" s="6">
        <v>157</v>
      </c>
      <c r="Q69" s="6">
        <v>52</v>
      </c>
      <c r="R69" s="26">
        <v>83</v>
      </c>
      <c r="S69" s="26">
        <v>4</v>
      </c>
      <c r="T69" s="26">
        <v>3</v>
      </c>
      <c r="U69" s="26"/>
    </row>
    <row r="70" spans="1:21">
      <c r="A70" s="20">
        <v>60</v>
      </c>
      <c r="B70" s="27">
        <v>46032</v>
      </c>
      <c r="C70" s="6" t="s">
        <v>204</v>
      </c>
      <c r="D70" s="71" t="s">
        <v>2407</v>
      </c>
      <c r="E70" s="20" t="s">
        <v>40</v>
      </c>
      <c r="F70" s="21">
        <v>28061941</v>
      </c>
      <c r="G70" s="21" t="str">
        <f t="shared" si="2"/>
        <v>1941</v>
      </c>
      <c r="H70" s="22">
        <f t="shared" si="1"/>
        <v>85</v>
      </c>
      <c r="I70" s="23"/>
      <c r="J70" s="20" t="s">
        <v>27</v>
      </c>
      <c r="K70" s="6" t="s">
        <v>115</v>
      </c>
      <c r="L70" s="25"/>
      <c r="M70" s="45" t="s">
        <v>205</v>
      </c>
      <c r="N70" s="6"/>
      <c r="O70" s="6" t="s">
        <v>206</v>
      </c>
      <c r="P70" s="6">
        <v>140</v>
      </c>
      <c r="Q70" s="6">
        <v>35</v>
      </c>
      <c r="R70" s="26">
        <v>80</v>
      </c>
      <c r="S70" s="26">
        <v>1</v>
      </c>
      <c r="T70" s="26">
        <v>2</v>
      </c>
      <c r="U70" s="26"/>
    </row>
    <row r="71" spans="1:21">
      <c r="A71" s="17">
        <v>61</v>
      </c>
      <c r="B71" s="27">
        <v>46032</v>
      </c>
      <c r="C71" s="6" t="s">
        <v>207</v>
      </c>
      <c r="D71" s="71" t="s">
        <v>2408</v>
      </c>
      <c r="E71" s="20" t="s">
        <v>40</v>
      </c>
      <c r="F71" s="21">
        <v>20031943</v>
      </c>
      <c r="G71" s="21" t="str">
        <f t="shared" si="2"/>
        <v>1943</v>
      </c>
      <c r="H71" s="22">
        <f t="shared" si="1"/>
        <v>83</v>
      </c>
      <c r="I71" s="23"/>
      <c r="J71" s="20" t="s">
        <v>27</v>
      </c>
      <c r="K71" s="6" t="s">
        <v>115</v>
      </c>
      <c r="L71" s="25"/>
      <c r="M71" s="45" t="s">
        <v>208</v>
      </c>
      <c r="N71" s="6"/>
      <c r="O71" s="6" t="s">
        <v>209</v>
      </c>
      <c r="P71" s="6">
        <v>143</v>
      </c>
      <c r="Q71" s="6">
        <v>52</v>
      </c>
      <c r="R71" s="26">
        <v>74</v>
      </c>
      <c r="S71" s="26">
        <v>1</v>
      </c>
      <c r="T71" s="26" t="s">
        <v>210</v>
      </c>
      <c r="U71" s="26"/>
    </row>
    <row r="72" spans="1:21">
      <c r="A72" s="20">
        <v>62</v>
      </c>
      <c r="B72" s="27">
        <v>46032</v>
      </c>
      <c r="C72" s="6" t="s">
        <v>211</v>
      </c>
      <c r="D72" s="71" t="s">
        <v>2409</v>
      </c>
      <c r="E72" s="20" t="s">
        <v>40</v>
      </c>
      <c r="F72" s="21">
        <v>3101941</v>
      </c>
      <c r="G72" s="21" t="str">
        <f t="shared" si="2"/>
        <v>1941</v>
      </c>
      <c r="H72" s="22">
        <f t="shared" si="1"/>
        <v>85</v>
      </c>
      <c r="I72" s="23" t="s">
        <v>212</v>
      </c>
      <c r="J72" s="20"/>
      <c r="K72" s="6" t="s">
        <v>32</v>
      </c>
      <c r="L72" s="25"/>
      <c r="M72" s="45" t="s">
        <v>213</v>
      </c>
      <c r="N72" s="6"/>
      <c r="O72" s="6" t="s">
        <v>214</v>
      </c>
      <c r="P72" s="6">
        <v>156</v>
      </c>
      <c r="Q72" s="6">
        <v>49</v>
      </c>
      <c r="R72" s="26">
        <v>92</v>
      </c>
      <c r="S72" s="26">
        <v>1</v>
      </c>
      <c r="T72" s="26">
        <v>1</v>
      </c>
      <c r="U72" s="26"/>
    </row>
    <row r="73" spans="1:21">
      <c r="A73" s="17">
        <v>63</v>
      </c>
      <c r="B73" s="27">
        <v>46032</v>
      </c>
      <c r="C73" s="6" t="s">
        <v>215</v>
      </c>
      <c r="D73" s="71" t="s">
        <v>2410</v>
      </c>
      <c r="E73" s="20" t="s">
        <v>40</v>
      </c>
      <c r="F73" s="21">
        <v>5021946</v>
      </c>
      <c r="G73" s="21" t="str">
        <f t="shared" si="2"/>
        <v>1946</v>
      </c>
      <c r="H73" s="22">
        <f t="shared" si="1"/>
        <v>80</v>
      </c>
      <c r="I73" s="23"/>
      <c r="J73" s="20" t="s">
        <v>27</v>
      </c>
      <c r="K73" s="6" t="s">
        <v>115</v>
      </c>
      <c r="L73" s="25"/>
      <c r="M73" s="45" t="s">
        <v>216</v>
      </c>
      <c r="N73" s="6"/>
      <c r="O73" s="6" t="s">
        <v>217</v>
      </c>
      <c r="P73" s="6">
        <v>155</v>
      </c>
      <c r="Q73" s="6">
        <v>49</v>
      </c>
      <c r="R73" s="26">
        <v>89</v>
      </c>
      <c r="S73" s="26">
        <v>3</v>
      </c>
      <c r="T73" s="26">
        <v>3</v>
      </c>
      <c r="U73" s="26"/>
    </row>
    <row r="74" spans="1:21">
      <c r="A74" s="20">
        <v>64</v>
      </c>
      <c r="B74" s="27">
        <v>46032</v>
      </c>
      <c r="C74" s="6" t="s">
        <v>218</v>
      </c>
      <c r="D74" s="71" t="s">
        <v>2411</v>
      </c>
      <c r="E74" s="20" t="s">
        <v>2374</v>
      </c>
      <c r="F74" s="21">
        <v>7051968</v>
      </c>
      <c r="G74" s="21" t="str">
        <f t="shared" si="2"/>
        <v>1968</v>
      </c>
      <c r="H74" s="22">
        <f t="shared" si="1"/>
        <v>58</v>
      </c>
      <c r="I74" s="23" t="s">
        <v>27</v>
      </c>
      <c r="J74" s="20"/>
      <c r="K74" s="6" t="s">
        <v>115</v>
      </c>
      <c r="L74" s="25"/>
      <c r="M74" s="45" t="s">
        <v>219</v>
      </c>
      <c r="N74" s="6"/>
      <c r="O74" s="6" t="s">
        <v>220</v>
      </c>
      <c r="P74" s="6">
        <v>155</v>
      </c>
      <c r="Q74" s="6">
        <v>40.5</v>
      </c>
      <c r="R74" s="26">
        <v>102</v>
      </c>
      <c r="S74" s="26">
        <v>3</v>
      </c>
      <c r="T74" s="26">
        <v>3</v>
      </c>
      <c r="U74" s="26"/>
    </row>
    <row r="75" spans="1:21">
      <c r="A75" s="17">
        <v>65</v>
      </c>
      <c r="B75" s="27">
        <v>46032</v>
      </c>
      <c r="C75" s="6" t="s">
        <v>221</v>
      </c>
      <c r="D75" s="71" t="s">
        <v>2412</v>
      </c>
      <c r="E75" s="20" t="s">
        <v>40</v>
      </c>
      <c r="F75" s="21">
        <v>5101948</v>
      </c>
      <c r="G75" s="21" t="str">
        <f t="shared" ref="G75:G106" si="3">RIGHT(F75,4)</f>
        <v>1948</v>
      </c>
      <c r="H75" s="22">
        <f t="shared" ref="H75:H138" si="4">2026-G75</f>
        <v>78</v>
      </c>
      <c r="I75" s="23" t="s">
        <v>27</v>
      </c>
      <c r="J75" s="20"/>
      <c r="K75" s="6" t="s">
        <v>115</v>
      </c>
      <c r="L75" s="25"/>
      <c r="M75" s="45" t="s">
        <v>222</v>
      </c>
      <c r="N75" s="6"/>
      <c r="O75" s="6" t="s">
        <v>133</v>
      </c>
      <c r="P75" s="6">
        <v>158</v>
      </c>
      <c r="Q75" s="6">
        <v>58</v>
      </c>
      <c r="R75" s="26">
        <v>79</v>
      </c>
      <c r="S75" s="26" t="s">
        <v>129</v>
      </c>
      <c r="T75" s="26"/>
      <c r="U75" s="26"/>
    </row>
    <row r="76" spans="1:21">
      <c r="A76" s="20">
        <v>66</v>
      </c>
      <c r="B76" s="27">
        <v>46032</v>
      </c>
      <c r="C76" s="6" t="s">
        <v>223</v>
      </c>
      <c r="D76" s="71" t="s">
        <v>2413</v>
      </c>
      <c r="E76" s="20" t="s">
        <v>40</v>
      </c>
      <c r="F76" s="21">
        <v>24061948</v>
      </c>
      <c r="G76" s="21" t="str">
        <f t="shared" si="3"/>
        <v>1948</v>
      </c>
      <c r="H76" s="22">
        <f t="shared" si="4"/>
        <v>78</v>
      </c>
      <c r="I76" s="23"/>
      <c r="J76" s="20" t="s">
        <v>27</v>
      </c>
      <c r="K76" s="6" t="s">
        <v>32</v>
      </c>
      <c r="L76" s="25"/>
      <c r="M76" s="45" t="s">
        <v>224</v>
      </c>
      <c r="N76" s="6"/>
      <c r="O76" s="6" t="s">
        <v>206</v>
      </c>
      <c r="P76" s="6">
        <v>147</v>
      </c>
      <c r="Q76" s="6">
        <v>56</v>
      </c>
      <c r="R76" s="26">
        <v>82</v>
      </c>
      <c r="S76" s="26">
        <v>5</v>
      </c>
      <c r="T76" s="26">
        <v>4</v>
      </c>
      <c r="U76" s="26"/>
    </row>
    <row r="77" spans="1:21">
      <c r="A77" s="17">
        <v>67</v>
      </c>
      <c r="B77" s="27">
        <v>46032</v>
      </c>
      <c r="C77" s="6" t="s">
        <v>225</v>
      </c>
      <c r="D77" s="71" t="s">
        <v>2414</v>
      </c>
      <c r="E77" s="20" t="s">
        <v>40</v>
      </c>
      <c r="F77" s="21">
        <v>29061952</v>
      </c>
      <c r="G77" s="21" t="str">
        <f t="shared" si="3"/>
        <v>1952</v>
      </c>
      <c r="H77" s="22">
        <f t="shared" si="4"/>
        <v>74</v>
      </c>
      <c r="I77" s="23" t="s">
        <v>27</v>
      </c>
      <c r="J77" s="20"/>
      <c r="K77" s="6" t="s">
        <v>115</v>
      </c>
      <c r="L77" s="25"/>
      <c r="M77" s="45" t="s">
        <v>226</v>
      </c>
      <c r="N77" s="6"/>
      <c r="O77" s="6" t="s">
        <v>227</v>
      </c>
      <c r="P77" s="6">
        <v>158</v>
      </c>
      <c r="Q77" s="6">
        <v>56</v>
      </c>
      <c r="R77" s="26">
        <v>84</v>
      </c>
      <c r="S77" s="26">
        <v>4</v>
      </c>
      <c r="T77" s="26">
        <v>4</v>
      </c>
      <c r="U77" s="26"/>
    </row>
    <row r="78" spans="1:21">
      <c r="A78" s="20">
        <v>68</v>
      </c>
      <c r="B78" s="27">
        <v>46032</v>
      </c>
      <c r="C78" s="6" t="s">
        <v>228</v>
      </c>
      <c r="D78" s="71" t="s">
        <v>2411</v>
      </c>
      <c r="E78" s="20" t="s">
        <v>40</v>
      </c>
      <c r="F78" s="21">
        <v>2051947</v>
      </c>
      <c r="G78" s="21" t="str">
        <f t="shared" si="3"/>
        <v>1947</v>
      </c>
      <c r="H78" s="22">
        <f t="shared" si="4"/>
        <v>79</v>
      </c>
      <c r="I78" s="23" t="s">
        <v>27</v>
      </c>
      <c r="J78" s="20"/>
      <c r="K78" s="6" t="s">
        <v>115</v>
      </c>
      <c r="L78" s="25"/>
      <c r="M78" s="45" t="s">
        <v>229</v>
      </c>
      <c r="N78" s="6"/>
      <c r="O78" s="6" t="s">
        <v>183</v>
      </c>
      <c r="P78" s="6">
        <v>154</v>
      </c>
      <c r="Q78" s="6">
        <v>43</v>
      </c>
      <c r="R78" s="26">
        <v>97</v>
      </c>
      <c r="S78" s="26">
        <v>2</v>
      </c>
      <c r="T78" s="26">
        <v>2</v>
      </c>
      <c r="U78" s="26"/>
    </row>
    <row r="79" spans="1:21">
      <c r="A79" s="17">
        <v>69</v>
      </c>
      <c r="B79" s="27">
        <v>46032</v>
      </c>
      <c r="C79" s="6" t="s">
        <v>230</v>
      </c>
      <c r="D79" s="71" t="s">
        <v>2415</v>
      </c>
      <c r="E79" s="20" t="s">
        <v>2374</v>
      </c>
      <c r="F79" s="21">
        <v>1021950</v>
      </c>
      <c r="G79" s="21" t="str">
        <f t="shared" si="3"/>
        <v>1950</v>
      </c>
      <c r="H79" s="22">
        <f t="shared" si="4"/>
        <v>76</v>
      </c>
      <c r="I79" s="23" t="s">
        <v>27</v>
      </c>
      <c r="J79" s="20"/>
      <c r="K79" s="6" t="s">
        <v>32</v>
      </c>
      <c r="L79" s="25"/>
      <c r="M79" s="45" t="s">
        <v>231</v>
      </c>
      <c r="N79" s="6"/>
      <c r="O79" s="6" t="s">
        <v>232</v>
      </c>
      <c r="P79" s="6">
        <v>155</v>
      </c>
      <c r="Q79" s="6">
        <v>53</v>
      </c>
      <c r="R79" s="26">
        <v>80</v>
      </c>
      <c r="S79" s="26">
        <v>3</v>
      </c>
      <c r="T79" s="26">
        <v>5</v>
      </c>
      <c r="U79" s="26"/>
    </row>
    <row r="80" spans="1:21">
      <c r="A80" s="20">
        <v>70</v>
      </c>
      <c r="B80" s="27">
        <v>46032</v>
      </c>
      <c r="C80" s="6" t="s">
        <v>233</v>
      </c>
      <c r="D80" s="71" t="s">
        <v>2414</v>
      </c>
      <c r="E80" s="20" t="s">
        <v>40</v>
      </c>
      <c r="F80" s="21">
        <v>12061949</v>
      </c>
      <c r="G80" s="21" t="str">
        <f t="shared" si="3"/>
        <v>1949</v>
      </c>
      <c r="H80" s="22">
        <f t="shared" si="4"/>
        <v>77</v>
      </c>
      <c r="I80" s="23" t="s">
        <v>27</v>
      </c>
      <c r="J80" s="20"/>
      <c r="K80" s="6" t="s">
        <v>115</v>
      </c>
      <c r="L80" s="25"/>
      <c r="M80" s="45" t="s">
        <v>234</v>
      </c>
      <c r="N80" s="6"/>
      <c r="O80" s="6" t="s">
        <v>235</v>
      </c>
      <c r="P80" s="6">
        <v>170</v>
      </c>
      <c r="Q80" s="6">
        <v>60</v>
      </c>
      <c r="R80" s="26">
        <v>86</v>
      </c>
      <c r="S80" s="26" t="s">
        <v>150</v>
      </c>
      <c r="T80" s="26">
        <v>1</v>
      </c>
      <c r="U80" s="26"/>
    </row>
    <row r="81" spans="1:24">
      <c r="A81" s="17">
        <v>71</v>
      </c>
      <c r="B81" s="27">
        <v>46032</v>
      </c>
      <c r="C81" s="6" t="s">
        <v>236</v>
      </c>
      <c r="D81" s="71" t="s">
        <v>2409</v>
      </c>
      <c r="E81" s="20" t="s">
        <v>40</v>
      </c>
      <c r="F81" s="21">
        <v>1021961</v>
      </c>
      <c r="G81" s="21" t="str">
        <f t="shared" si="3"/>
        <v>1961</v>
      </c>
      <c r="H81" s="22">
        <f t="shared" si="4"/>
        <v>65</v>
      </c>
      <c r="I81" s="23" t="s">
        <v>27</v>
      </c>
      <c r="J81" s="20"/>
      <c r="K81" s="6" t="s">
        <v>32</v>
      </c>
      <c r="L81" s="25"/>
      <c r="M81" s="45" t="s">
        <v>237</v>
      </c>
      <c r="N81" s="6"/>
      <c r="O81" s="6" t="s">
        <v>238</v>
      </c>
      <c r="P81" s="6">
        <v>155</v>
      </c>
      <c r="Q81" s="6">
        <v>47</v>
      </c>
      <c r="R81" s="26">
        <v>76</v>
      </c>
      <c r="S81" s="26">
        <v>2</v>
      </c>
      <c r="T81" s="26" t="s">
        <v>210</v>
      </c>
      <c r="U81" s="26"/>
    </row>
    <row r="82" spans="1:24">
      <c r="A82" s="20">
        <v>72</v>
      </c>
      <c r="B82" s="27">
        <v>46032</v>
      </c>
      <c r="C82" s="6" t="s">
        <v>239</v>
      </c>
      <c r="D82" s="71" t="s">
        <v>2412</v>
      </c>
      <c r="E82" s="20" t="s">
        <v>40</v>
      </c>
      <c r="F82" s="21">
        <v>13011966</v>
      </c>
      <c r="G82" s="21" t="str">
        <f t="shared" si="3"/>
        <v>1966</v>
      </c>
      <c r="H82" s="22">
        <f t="shared" si="4"/>
        <v>60</v>
      </c>
      <c r="I82" s="23" t="s">
        <v>27</v>
      </c>
      <c r="J82" s="20"/>
      <c r="K82" s="6" t="s">
        <v>115</v>
      </c>
      <c r="L82" s="25"/>
      <c r="M82" s="45" t="s">
        <v>240</v>
      </c>
      <c r="N82" s="6"/>
      <c r="O82" s="6" t="s">
        <v>241</v>
      </c>
      <c r="P82" s="6">
        <v>166</v>
      </c>
      <c r="Q82" s="6">
        <v>56</v>
      </c>
      <c r="R82" s="26">
        <v>61</v>
      </c>
      <c r="S82" s="26">
        <v>6</v>
      </c>
      <c r="T82" s="26">
        <v>5</v>
      </c>
      <c r="U82" s="26"/>
    </row>
    <row r="83" spans="1:24">
      <c r="A83" s="17">
        <v>73</v>
      </c>
      <c r="B83" s="27">
        <v>46032</v>
      </c>
      <c r="C83" s="6" t="s">
        <v>242</v>
      </c>
      <c r="D83" s="71" t="s">
        <v>2415</v>
      </c>
      <c r="E83" s="20" t="s">
        <v>40</v>
      </c>
      <c r="F83" s="21">
        <v>11111952</v>
      </c>
      <c r="G83" s="21" t="str">
        <f t="shared" si="3"/>
        <v>1952</v>
      </c>
      <c r="H83" s="22">
        <f t="shared" si="4"/>
        <v>74</v>
      </c>
      <c r="I83" s="23"/>
      <c r="J83" s="20" t="s">
        <v>27</v>
      </c>
      <c r="K83" s="6" t="s">
        <v>115</v>
      </c>
      <c r="L83" s="25"/>
      <c r="M83" s="45" t="s">
        <v>243</v>
      </c>
      <c r="N83" s="6"/>
      <c r="O83" s="6" t="s">
        <v>244</v>
      </c>
      <c r="P83" s="6">
        <v>144</v>
      </c>
      <c r="Q83" s="6">
        <v>48</v>
      </c>
      <c r="R83" s="26">
        <v>84</v>
      </c>
      <c r="S83" s="26">
        <v>1</v>
      </c>
      <c r="T83" s="26">
        <v>1</v>
      </c>
      <c r="U83" s="26"/>
    </row>
    <row r="84" spans="1:24">
      <c r="A84" s="20">
        <v>74</v>
      </c>
      <c r="B84" s="27">
        <v>46032</v>
      </c>
      <c r="C84" s="6" t="s">
        <v>245</v>
      </c>
      <c r="D84" s="71" t="s">
        <v>2408</v>
      </c>
      <c r="E84" s="20" t="s">
        <v>40</v>
      </c>
      <c r="F84" s="21">
        <v>9101955</v>
      </c>
      <c r="G84" s="21" t="str">
        <f t="shared" si="3"/>
        <v>1955</v>
      </c>
      <c r="H84" s="22">
        <f t="shared" si="4"/>
        <v>71</v>
      </c>
      <c r="I84" s="23"/>
      <c r="J84" s="20" t="s">
        <v>27</v>
      </c>
      <c r="K84" s="6" t="s">
        <v>32</v>
      </c>
      <c r="L84" s="25"/>
      <c r="M84" s="45" t="s">
        <v>246</v>
      </c>
      <c r="N84" s="6"/>
      <c r="O84" s="6" t="s">
        <v>247</v>
      </c>
      <c r="P84" s="6">
        <v>155</v>
      </c>
      <c r="Q84" s="6">
        <v>45</v>
      </c>
      <c r="R84" s="26">
        <v>93</v>
      </c>
      <c r="S84" s="26">
        <v>4</v>
      </c>
      <c r="T84" s="26">
        <v>3</v>
      </c>
      <c r="U84" s="26"/>
    </row>
    <row r="85" spans="1:24">
      <c r="A85" s="17">
        <v>75</v>
      </c>
      <c r="B85" s="27">
        <v>46032</v>
      </c>
      <c r="C85" s="6" t="s">
        <v>26</v>
      </c>
      <c r="D85" s="71" t="s">
        <v>2413</v>
      </c>
      <c r="E85" s="20" t="s">
        <v>40</v>
      </c>
      <c r="F85" s="21">
        <v>10031947</v>
      </c>
      <c r="G85" s="21" t="str">
        <f t="shared" si="3"/>
        <v>1947</v>
      </c>
      <c r="H85" s="22">
        <f t="shared" si="4"/>
        <v>79</v>
      </c>
      <c r="I85" s="23"/>
      <c r="J85" s="20" t="s">
        <v>27</v>
      </c>
      <c r="K85" s="6" t="s">
        <v>32</v>
      </c>
      <c r="L85" s="25"/>
      <c r="M85" s="45" t="s">
        <v>248</v>
      </c>
      <c r="N85" s="6"/>
      <c r="O85" s="6" t="s">
        <v>60</v>
      </c>
      <c r="P85" s="6">
        <v>150</v>
      </c>
      <c r="Q85" s="6">
        <v>40</v>
      </c>
      <c r="R85" s="26">
        <v>85</v>
      </c>
      <c r="S85" s="26">
        <v>4</v>
      </c>
      <c r="T85" s="26">
        <v>3</v>
      </c>
      <c r="U85" s="26"/>
    </row>
    <row r="86" spans="1:24">
      <c r="A86" s="20">
        <v>76</v>
      </c>
      <c r="B86" s="27">
        <v>46032</v>
      </c>
      <c r="C86" s="6" t="s">
        <v>249</v>
      </c>
      <c r="D86" s="71" t="s">
        <v>2410</v>
      </c>
      <c r="E86" s="20" t="s">
        <v>40</v>
      </c>
      <c r="F86" s="21">
        <v>10031951</v>
      </c>
      <c r="G86" s="21" t="str">
        <f t="shared" si="3"/>
        <v>1951</v>
      </c>
      <c r="H86" s="22">
        <f t="shared" si="4"/>
        <v>75</v>
      </c>
      <c r="I86" s="23" t="s">
        <v>27</v>
      </c>
      <c r="J86" s="20"/>
      <c r="K86" s="6" t="s">
        <v>32</v>
      </c>
      <c r="L86" s="25"/>
      <c r="M86" s="45" t="s">
        <v>250</v>
      </c>
      <c r="N86" s="6"/>
      <c r="O86" s="6" t="s">
        <v>251</v>
      </c>
      <c r="P86" s="6">
        <v>155</v>
      </c>
      <c r="Q86" s="6">
        <v>49</v>
      </c>
      <c r="R86" s="26">
        <v>121</v>
      </c>
      <c r="S86" s="26">
        <v>4</v>
      </c>
      <c r="T86" s="26">
        <v>2</v>
      </c>
      <c r="U86" s="26"/>
      <c r="V86" s="6" t="s">
        <v>252</v>
      </c>
    </row>
    <row r="87" spans="1:24">
      <c r="A87" s="17">
        <v>77</v>
      </c>
      <c r="B87" s="27">
        <v>46032</v>
      </c>
      <c r="C87" s="6" t="s">
        <v>253</v>
      </c>
      <c r="D87" s="71" t="s">
        <v>2416</v>
      </c>
      <c r="E87" s="20" t="s">
        <v>92</v>
      </c>
      <c r="F87" s="21">
        <v>7121970</v>
      </c>
      <c r="G87" s="21" t="str">
        <f t="shared" si="3"/>
        <v>1970</v>
      </c>
      <c r="H87" s="22">
        <f t="shared" si="4"/>
        <v>56</v>
      </c>
      <c r="I87" s="23"/>
      <c r="J87" s="20" t="s">
        <v>27</v>
      </c>
      <c r="K87" s="6" t="s">
        <v>32</v>
      </c>
      <c r="L87" s="25"/>
      <c r="M87" s="45" t="s">
        <v>254</v>
      </c>
      <c r="N87" s="6"/>
      <c r="O87" s="6" t="s">
        <v>255</v>
      </c>
      <c r="P87" s="6">
        <v>145</v>
      </c>
      <c r="Q87" s="6">
        <v>50</v>
      </c>
      <c r="R87" s="26">
        <v>107</v>
      </c>
      <c r="S87" s="26">
        <v>8</v>
      </c>
      <c r="T87" s="26">
        <v>7</v>
      </c>
      <c r="U87" s="26"/>
    </row>
    <row r="88" spans="1:24">
      <c r="A88" s="20">
        <v>78</v>
      </c>
      <c r="B88" s="27">
        <v>46032</v>
      </c>
      <c r="C88" s="6" t="s">
        <v>256</v>
      </c>
      <c r="D88" s="71" t="s">
        <v>2399</v>
      </c>
      <c r="E88" s="20" t="s">
        <v>40</v>
      </c>
      <c r="F88" s="21">
        <v>20101945</v>
      </c>
      <c r="G88" s="21" t="str">
        <f t="shared" si="3"/>
        <v>1945</v>
      </c>
      <c r="H88" s="22">
        <f t="shared" si="4"/>
        <v>81</v>
      </c>
      <c r="I88" s="23"/>
      <c r="J88" s="20" t="s">
        <v>27</v>
      </c>
      <c r="K88" s="6" t="s">
        <v>32</v>
      </c>
      <c r="L88" s="25"/>
      <c r="M88" s="45" t="s">
        <v>257</v>
      </c>
      <c r="N88" s="6"/>
      <c r="O88" s="6" t="s">
        <v>258</v>
      </c>
      <c r="P88" s="6">
        <v>148</v>
      </c>
      <c r="Q88" s="6">
        <v>45</v>
      </c>
      <c r="R88" s="26">
        <v>100</v>
      </c>
      <c r="S88" s="26">
        <v>2</v>
      </c>
      <c r="T88" s="26">
        <v>3</v>
      </c>
      <c r="U88" s="26"/>
      <c r="W88" s="4">
        <v>1</v>
      </c>
      <c r="X88" s="4" t="s">
        <v>259</v>
      </c>
    </row>
    <row r="89" spans="1:24">
      <c r="A89" s="17">
        <v>79</v>
      </c>
      <c r="B89" s="27">
        <v>46032</v>
      </c>
      <c r="C89" s="6" t="s">
        <v>260</v>
      </c>
      <c r="D89" s="71" t="s">
        <v>2417</v>
      </c>
      <c r="E89" s="20" t="s">
        <v>261</v>
      </c>
      <c r="F89" s="21">
        <v>1011940</v>
      </c>
      <c r="G89" s="21" t="str">
        <f t="shared" si="3"/>
        <v>1940</v>
      </c>
      <c r="H89" s="22">
        <f t="shared" si="4"/>
        <v>86</v>
      </c>
      <c r="I89" s="23"/>
      <c r="J89" s="20" t="s">
        <v>27</v>
      </c>
      <c r="K89" s="6" t="s">
        <v>32</v>
      </c>
      <c r="L89" s="25"/>
      <c r="M89" s="45" t="s">
        <v>262</v>
      </c>
      <c r="N89" s="6"/>
      <c r="O89" s="6" t="s">
        <v>263</v>
      </c>
      <c r="P89" s="6">
        <v>135</v>
      </c>
      <c r="Q89" s="6">
        <v>40</v>
      </c>
      <c r="R89" s="26">
        <v>89</v>
      </c>
      <c r="S89" s="26">
        <v>4</v>
      </c>
      <c r="T89" s="26">
        <v>5</v>
      </c>
      <c r="U89" s="26"/>
      <c r="V89" s="6" t="s">
        <v>252</v>
      </c>
      <c r="W89" s="4">
        <v>2</v>
      </c>
    </row>
    <row r="90" spans="1:24">
      <c r="A90" s="20">
        <v>80</v>
      </c>
      <c r="B90" s="27">
        <v>46032</v>
      </c>
      <c r="C90" s="6" t="s">
        <v>264</v>
      </c>
      <c r="D90" s="71" t="s">
        <v>2417</v>
      </c>
      <c r="E90" s="20" t="s">
        <v>92</v>
      </c>
      <c r="F90" s="21">
        <v>15121970</v>
      </c>
      <c r="G90" s="21" t="str">
        <f t="shared" si="3"/>
        <v>1970</v>
      </c>
      <c r="H90" s="22">
        <f t="shared" si="4"/>
        <v>56</v>
      </c>
      <c r="I90" s="23" t="s">
        <v>27</v>
      </c>
      <c r="J90" s="20"/>
      <c r="K90" s="6" t="s">
        <v>32</v>
      </c>
      <c r="L90" s="25"/>
      <c r="M90" s="45" t="s">
        <v>265</v>
      </c>
      <c r="N90" s="6"/>
      <c r="O90" s="6" t="s">
        <v>266</v>
      </c>
      <c r="P90" s="6">
        <v>150</v>
      </c>
      <c r="Q90" s="6">
        <v>56</v>
      </c>
      <c r="R90" s="26">
        <v>94</v>
      </c>
      <c r="S90" s="26">
        <v>6</v>
      </c>
      <c r="T90" s="26">
        <v>6</v>
      </c>
      <c r="U90" s="26"/>
      <c r="V90" s="6" t="s">
        <v>252</v>
      </c>
      <c r="W90" s="4">
        <v>3</v>
      </c>
    </row>
    <row r="91" spans="1:24">
      <c r="A91" s="17">
        <v>81</v>
      </c>
      <c r="B91" s="27">
        <v>46032</v>
      </c>
      <c r="C91" s="6" t="s">
        <v>267</v>
      </c>
      <c r="D91" s="71" t="s">
        <v>2399</v>
      </c>
      <c r="E91" s="20" t="s">
        <v>40</v>
      </c>
      <c r="F91" s="21">
        <v>3071948</v>
      </c>
      <c r="G91" s="21" t="str">
        <f t="shared" si="3"/>
        <v>1948</v>
      </c>
      <c r="H91" s="22">
        <f t="shared" si="4"/>
        <v>78</v>
      </c>
      <c r="I91" s="23"/>
      <c r="J91" s="20" t="s">
        <v>27</v>
      </c>
      <c r="K91" s="6" t="s">
        <v>28</v>
      </c>
      <c r="L91" s="25"/>
      <c r="M91" s="45" t="s">
        <v>268</v>
      </c>
      <c r="N91" s="6"/>
      <c r="O91" s="6" t="s">
        <v>143</v>
      </c>
      <c r="P91" s="6">
        <v>160</v>
      </c>
      <c r="Q91" s="6">
        <v>37</v>
      </c>
      <c r="R91" s="26">
        <v>95</v>
      </c>
      <c r="S91" s="26">
        <v>5</v>
      </c>
      <c r="T91" s="26">
        <v>6</v>
      </c>
      <c r="U91" s="26"/>
      <c r="V91" s="6" t="s">
        <v>252</v>
      </c>
      <c r="W91" s="4">
        <v>4</v>
      </c>
    </row>
    <row r="92" spans="1:24">
      <c r="A92" s="20">
        <v>82</v>
      </c>
      <c r="B92" s="27">
        <v>46032</v>
      </c>
      <c r="C92" s="6" t="s">
        <v>269</v>
      </c>
      <c r="D92" s="71" t="s">
        <v>2416</v>
      </c>
      <c r="E92" s="20" t="s">
        <v>40</v>
      </c>
      <c r="F92" s="21">
        <v>12121954</v>
      </c>
      <c r="G92" s="21" t="str">
        <f t="shared" si="3"/>
        <v>1954</v>
      </c>
      <c r="H92" s="22">
        <f t="shared" si="4"/>
        <v>72</v>
      </c>
      <c r="I92" s="23"/>
      <c r="J92" s="20" t="s">
        <v>27</v>
      </c>
      <c r="K92" s="6" t="s">
        <v>28</v>
      </c>
      <c r="L92" s="25"/>
      <c r="M92" s="45" t="s">
        <v>270</v>
      </c>
      <c r="N92" s="6"/>
      <c r="O92" s="6" t="s">
        <v>143</v>
      </c>
      <c r="P92" s="6">
        <v>165</v>
      </c>
      <c r="Q92" s="6">
        <v>45</v>
      </c>
      <c r="R92" s="26">
        <v>70</v>
      </c>
      <c r="S92" s="26"/>
      <c r="T92" s="26"/>
      <c r="U92" s="26"/>
      <c r="V92" s="6" t="s">
        <v>252</v>
      </c>
      <c r="W92" s="4">
        <v>5</v>
      </c>
    </row>
    <row r="93" spans="1:24">
      <c r="A93" s="17">
        <v>83</v>
      </c>
      <c r="B93" s="27">
        <v>46032</v>
      </c>
      <c r="C93" s="6" t="s">
        <v>271</v>
      </c>
      <c r="D93" s="71" t="s">
        <v>2399</v>
      </c>
      <c r="E93" s="20" t="s">
        <v>40</v>
      </c>
      <c r="F93" s="21">
        <v>3021949</v>
      </c>
      <c r="G93" s="21" t="str">
        <f t="shared" si="3"/>
        <v>1949</v>
      </c>
      <c r="H93" s="22">
        <f t="shared" si="4"/>
        <v>77</v>
      </c>
      <c r="I93" s="23"/>
      <c r="J93" s="20" t="s">
        <v>27</v>
      </c>
      <c r="K93" s="6" t="s">
        <v>28</v>
      </c>
      <c r="L93" s="25"/>
      <c r="M93" s="45" t="s">
        <v>272</v>
      </c>
      <c r="N93" s="6"/>
      <c r="O93" s="6" t="s">
        <v>273</v>
      </c>
      <c r="P93" s="6">
        <v>150</v>
      </c>
      <c r="Q93" s="6">
        <v>44</v>
      </c>
      <c r="R93" s="26"/>
      <c r="S93" s="26">
        <v>5</v>
      </c>
      <c r="T93" s="26">
        <v>4</v>
      </c>
      <c r="U93" s="26"/>
      <c r="V93" s="6" t="s">
        <v>252</v>
      </c>
      <c r="W93" s="4">
        <v>6</v>
      </c>
    </row>
    <row r="94" spans="1:24">
      <c r="A94" s="20">
        <v>84</v>
      </c>
      <c r="B94" s="27">
        <v>46032</v>
      </c>
      <c r="C94" s="6" t="s">
        <v>154</v>
      </c>
      <c r="D94" s="71" t="s">
        <v>2416</v>
      </c>
      <c r="E94" s="20" t="s">
        <v>2374</v>
      </c>
      <c r="F94" s="21">
        <v>10111947</v>
      </c>
      <c r="G94" s="21" t="str">
        <f t="shared" si="3"/>
        <v>1947</v>
      </c>
      <c r="H94" s="22">
        <f t="shared" si="4"/>
        <v>79</v>
      </c>
      <c r="I94" s="23"/>
      <c r="J94" s="20" t="s">
        <v>27</v>
      </c>
      <c r="K94" s="6" t="s">
        <v>28</v>
      </c>
      <c r="L94" s="25"/>
      <c r="M94" s="45" t="s">
        <v>274</v>
      </c>
      <c r="N94" s="6"/>
      <c r="O94" s="6" t="s">
        <v>275</v>
      </c>
      <c r="P94" s="6">
        <v>135</v>
      </c>
      <c r="Q94" s="6">
        <v>30</v>
      </c>
      <c r="R94" s="26">
        <v>95</v>
      </c>
      <c r="S94" s="26">
        <v>4</v>
      </c>
      <c r="T94" s="26">
        <v>5</v>
      </c>
      <c r="U94" s="26"/>
      <c r="V94" s="6" t="s">
        <v>252</v>
      </c>
      <c r="W94" s="4">
        <v>7</v>
      </c>
    </row>
    <row r="95" spans="1:24">
      <c r="A95" s="17">
        <v>85</v>
      </c>
      <c r="B95" s="27">
        <v>46032</v>
      </c>
      <c r="C95" s="6" t="s">
        <v>276</v>
      </c>
      <c r="D95" s="71" t="s">
        <v>2418</v>
      </c>
      <c r="E95" s="20" t="s">
        <v>2374</v>
      </c>
      <c r="F95" s="21">
        <v>18101970</v>
      </c>
      <c r="G95" s="21" t="str">
        <f t="shared" si="3"/>
        <v>1970</v>
      </c>
      <c r="H95" s="22">
        <f t="shared" si="4"/>
        <v>56</v>
      </c>
      <c r="I95" s="23"/>
      <c r="J95" s="20" t="s">
        <v>27</v>
      </c>
      <c r="K95" s="6" t="s">
        <v>28</v>
      </c>
      <c r="L95" s="25"/>
      <c r="M95" s="45" t="s">
        <v>277</v>
      </c>
      <c r="N95" s="6"/>
      <c r="O95" s="6" t="s">
        <v>60</v>
      </c>
      <c r="P95" s="6">
        <v>156</v>
      </c>
      <c r="Q95" s="6">
        <v>48</v>
      </c>
      <c r="R95" s="26">
        <v>81</v>
      </c>
      <c r="S95" s="26">
        <v>8</v>
      </c>
      <c r="T95" s="26">
        <v>7</v>
      </c>
      <c r="U95" s="26"/>
      <c r="W95" s="4">
        <v>8</v>
      </c>
    </row>
    <row r="96" spans="1:24">
      <c r="A96" s="20">
        <v>86</v>
      </c>
      <c r="B96" s="27">
        <v>46032</v>
      </c>
      <c r="C96" s="6" t="s">
        <v>278</v>
      </c>
      <c r="D96" s="71" t="s">
        <v>2418</v>
      </c>
      <c r="E96" s="20" t="s">
        <v>92</v>
      </c>
      <c r="F96" s="21">
        <v>14011961</v>
      </c>
      <c r="G96" s="21" t="str">
        <f t="shared" si="3"/>
        <v>1961</v>
      </c>
      <c r="H96" s="22">
        <f t="shared" si="4"/>
        <v>65</v>
      </c>
      <c r="I96" s="23" t="s">
        <v>27</v>
      </c>
      <c r="J96" s="20"/>
      <c r="K96" s="6" t="s">
        <v>28</v>
      </c>
      <c r="L96" s="25"/>
      <c r="M96" s="45" t="s">
        <v>279</v>
      </c>
      <c r="N96" s="6"/>
      <c r="O96" s="6" t="s">
        <v>280</v>
      </c>
      <c r="P96" s="6">
        <v>160</v>
      </c>
      <c r="Q96" s="6">
        <v>56</v>
      </c>
      <c r="R96" s="26">
        <v>76</v>
      </c>
      <c r="S96" s="26">
        <v>7</v>
      </c>
      <c r="T96" s="26">
        <v>7</v>
      </c>
      <c r="U96" s="26"/>
      <c r="W96" s="4">
        <v>9</v>
      </c>
    </row>
    <row r="97" spans="1:23">
      <c r="A97" s="17">
        <v>87</v>
      </c>
      <c r="B97" s="27">
        <v>46032</v>
      </c>
      <c r="C97" s="6" t="s">
        <v>281</v>
      </c>
      <c r="D97" s="71" t="s">
        <v>2419</v>
      </c>
      <c r="E97" s="20" t="s">
        <v>40</v>
      </c>
      <c r="F97" s="21">
        <v>8061947</v>
      </c>
      <c r="G97" s="21" t="str">
        <f t="shared" si="3"/>
        <v>1947</v>
      </c>
      <c r="H97" s="22">
        <f t="shared" si="4"/>
        <v>79</v>
      </c>
      <c r="I97" s="23"/>
      <c r="J97" s="20" t="s">
        <v>27</v>
      </c>
      <c r="K97" s="6" t="s">
        <v>28</v>
      </c>
      <c r="L97" s="45" t="s">
        <v>282</v>
      </c>
      <c r="M97" s="45" t="s">
        <v>283</v>
      </c>
      <c r="N97" s="6"/>
      <c r="O97" s="6" t="s">
        <v>284</v>
      </c>
      <c r="P97" s="6">
        <v>153</v>
      </c>
      <c r="Q97" s="6">
        <v>57</v>
      </c>
      <c r="R97" s="26"/>
      <c r="S97" s="26">
        <v>5</v>
      </c>
      <c r="T97" s="26">
        <v>5</v>
      </c>
      <c r="U97" s="26"/>
      <c r="V97" s="6" t="s">
        <v>252</v>
      </c>
      <c r="W97" s="4">
        <v>10</v>
      </c>
    </row>
    <row r="98" spans="1:23">
      <c r="A98" s="20">
        <v>88</v>
      </c>
      <c r="B98" s="27">
        <v>46032</v>
      </c>
      <c r="C98" s="6" t="s">
        <v>285</v>
      </c>
      <c r="D98" s="71" t="s">
        <v>2419</v>
      </c>
      <c r="E98" s="20" t="s">
        <v>2374</v>
      </c>
      <c r="F98" s="21">
        <v>10021972</v>
      </c>
      <c r="G98" s="21" t="str">
        <f t="shared" si="3"/>
        <v>1972</v>
      </c>
      <c r="H98" s="22">
        <f t="shared" si="4"/>
        <v>54</v>
      </c>
      <c r="I98" s="23" t="s">
        <v>27</v>
      </c>
      <c r="J98" s="20"/>
      <c r="K98" s="6" t="s">
        <v>28</v>
      </c>
      <c r="L98" s="45" t="s">
        <v>286</v>
      </c>
      <c r="M98" s="45" t="s">
        <v>287</v>
      </c>
      <c r="N98" s="6"/>
      <c r="O98" s="6" t="s">
        <v>288</v>
      </c>
      <c r="P98" s="6">
        <v>156</v>
      </c>
      <c r="Q98" s="6">
        <v>57</v>
      </c>
      <c r="R98" s="26"/>
      <c r="S98" s="26">
        <v>5</v>
      </c>
      <c r="T98" s="26">
        <v>5</v>
      </c>
      <c r="U98" s="26"/>
      <c r="V98" s="6" t="s">
        <v>252</v>
      </c>
      <c r="W98" s="4">
        <v>11</v>
      </c>
    </row>
    <row r="99" spans="1:23">
      <c r="A99" s="17">
        <v>89</v>
      </c>
      <c r="B99" s="27">
        <v>46032</v>
      </c>
      <c r="C99" s="6" t="s">
        <v>289</v>
      </c>
      <c r="D99" s="71" t="s">
        <v>2420</v>
      </c>
      <c r="E99" s="20" t="s">
        <v>40</v>
      </c>
      <c r="F99" s="21">
        <v>4061947</v>
      </c>
      <c r="G99" s="21" t="str">
        <f t="shared" si="3"/>
        <v>1947</v>
      </c>
      <c r="H99" s="22">
        <f t="shared" si="4"/>
        <v>79</v>
      </c>
      <c r="I99" s="23" t="s">
        <v>27</v>
      </c>
      <c r="J99" s="20"/>
      <c r="K99" s="6" t="s">
        <v>115</v>
      </c>
      <c r="L99" s="45" t="s">
        <v>290</v>
      </c>
      <c r="M99" s="45" t="s">
        <v>291</v>
      </c>
      <c r="N99" s="6"/>
      <c r="O99" s="6" t="s">
        <v>87</v>
      </c>
      <c r="P99" s="6">
        <v>160</v>
      </c>
      <c r="Q99" s="6">
        <v>57</v>
      </c>
      <c r="R99" s="26">
        <v>70</v>
      </c>
      <c r="S99" s="26">
        <v>4</v>
      </c>
      <c r="T99" s="26">
        <v>2</v>
      </c>
      <c r="U99" s="26"/>
      <c r="W99" s="4">
        <v>12</v>
      </c>
    </row>
    <row r="100" spans="1:23">
      <c r="A100" s="20">
        <v>90</v>
      </c>
      <c r="B100" s="27">
        <v>46032</v>
      </c>
      <c r="C100" s="6" t="s">
        <v>292</v>
      </c>
      <c r="D100" s="71" t="s">
        <v>2420</v>
      </c>
      <c r="E100" s="20" t="s">
        <v>92</v>
      </c>
      <c r="F100" s="21">
        <v>13041985</v>
      </c>
      <c r="G100" s="21" t="str">
        <f t="shared" si="3"/>
        <v>1985</v>
      </c>
      <c r="H100" s="22">
        <f t="shared" si="4"/>
        <v>41</v>
      </c>
      <c r="I100" s="23"/>
      <c r="J100" s="20" t="s">
        <v>27</v>
      </c>
      <c r="K100" s="6" t="s">
        <v>28</v>
      </c>
      <c r="L100" s="45" t="s">
        <v>282</v>
      </c>
      <c r="M100" s="45" t="s">
        <v>293</v>
      </c>
      <c r="N100" s="6"/>
      <c r="O100" s="6" t="s">
        <v>34</v>
      </c>
      <c r="P100" s="6">
        <v>153</v>
      </c>
      <c r="Q100" s="6">
        <v>45</v>
      </c>
      <c r="R100" s="26">
        <v>85</v>
      </c>
      <c r="S100" s="26">
        <v>9</v>
      </c>
      <c r="T100" s="26">
        <v>9</v>
      </c>
      <c r="U100" s="26"/>
      <c r="V100" s="6" t="s">
        <v>294</v>
      </c>
      <c r="W100" s="4">
        <v>13</v>
      </c>
    </row>
    <row r="101" spans="1:23">
      <c r="A101" s="17">
        <v>91</v>
      </c>
      <c r="B101" s="27">
        <v>46032</v>
      </c>
      <c r="C101" s="6" t="s">
        <v>295</v>
      </c>
      <c r="D101" s="6"/>
      <c r="E101" s="20" t="s">
        <v>40</v>
      </c>
      <c r="F101" s="21">
        <v>2061945</v>
      </c>
      <c r="G101" s="21" t="str">
        <f t="shared" si="3"/>
        <v>1945</v>
      </c>
      <c r="H101" s="22">
        <f t="shared" si="4"/>
        <v>81</v>
      </c>
      <c r="I101" s="23"/>
      <c r="J101" s="20" t="s">
        <v>27</v>
      </c>
      <c r="K101" s="6" t="s">
        <v>28</v>
      </c>
      <c r="L101" s="25"/>
      <c r="M101" s="45" t="s">
        <v>296</v>
      </c>
      <c r="N101" s="6"/>
      <c r="O101" s="6" t="s">
        <v>87</v>
      </c>
      <c r="P101" s="6">
        <v>140</v>
      </c>
      <c r="Q101" s="6">
        <v>40</v>
      </c>
      <c r="R101" s="26">
        <v>70</v>
      </c>
      <c r="S101" s="26">
        <v>2</v>
      </c>
      <c r="T101" s="26">
        <v>2</v>
      </c>
      <c r="U101" s="26"/>
      <c r="V101" s="6" t="s">
        <v>252</v>
      </c>
      <c r="W101" s="4">
        <v>14</v>
      </c>
    </row>
    <row r="102" spans="1:23" ht="15.75">
      <c r="A102" s="20">
        <v>92</v>
      </c>
      <c r="B102" s="27">
        <v>46032</v>
      </c>
      <c r="C102" s="28" t="s">
        <v>297</v>
      </c>
      <c r="D102" s="28"/>
      <c r="E102" s="20" t="s">
        <v>40</v>
      </c>
      <c r="F102" s="21">
        <v>10051942</v>
      </c>
      <c r="G102" s="21" t="str">
        <f t="shared" si="3"/>
        <v>1942</v>
      </c>
      <c r="H102" s="22">
        <f t="shared" si="4"/>
        <v>84</v>
      </c>
      <c r="I102" s="23" t="s">
        <v>27</v>
      </c>
      <c r="J102" s="20"/>
      <c r="K102" s="6" t="s">
        <v>28</v>
      </c>
      <c r="L102" s="25"/>
      <c r="M102" s="45" t="s">
        <v>298</v>
      </c>
      <c r="N102" s="6"/>
      <c r="O102" s="6" t="s">
        <v>87</v>
      </c>
      <c r="P102" s="6">
        <v>155</v>
      </c>
      <c r="Q102" s="6">
        <v>42</v>
      </c>
      <c r="R102" s="26">
        <v>70</v>
      </c>
      <c r="S102" s="26">
        <v>3</v>
      </c>
      <c r="T102" s="26">
        <v>2</v>
      </c>
      <c r="U102" s="26"/>
      <c r="W102" s="4">
        <v>15</v>
      </c>
    </row>
    <row r="103" spans="1:23">
      <c r="A103" s="17">
        <v>93</v>
      </c>
      <c r="B103" s="27">
        <v>46032</v>
      </c>
      <c r="C103" s="6" t="s">
        <v>299</v>
      </c>
      <c r="D103" s="6"/>
      <c r="E103" s="20" t="s">
        <v>2374</v>
      </c>
      <c r="F103" s="21">
        <v>10091970</v>
      </c>
      <c r="G103" s="21" t="str">
        <f t="shared" si="3"/>
        <v>1970</v>
      </c>
      <c r="H103" s="22">
        <f t="shared" si="4"/>
        <v>56</v>
      </c>
      <c r="I103" s="23" t="s">
        <v>27</v>
      </c>
      <c r="J103" s="20"/>
      <c r="K103" s="6" t="s">
        <v>28</v>
      </c>
      <c r="L103" s="25"/>
      <c r="M103" s="45" t="s">
        <v>300</v>
      </c>
      <c r="N103" s="6"/>
      <c r="O103" s="6" t="s">
        <v>34</v>
      </c>
      <c r="P103" s="6"/>
      <c r="Q103" s="6"/>
      <c r="R103" s="26"/>
      <c r="S103" s="26">
        <v>5</v>
      </c>
      <c r="T103" s="26">
        <v>3</v>
      </c>
      <c r="U103" s="26"/>
      <c r="V103" s="6" t="s">
        <v>252</v>
      </c>
      <c r="W103" s="4">
        <v>16</v>
      </c>
    </row>
    <row r="104" spans="1:23">
      <c r="A104" s="20">
        <v>94</v>
      </c>
      <c r="B104" s="27">
        <v>46032</v>
      </c>
      <c r="C104" s="6" t="s">
        <v>301</v>
      </c>
      <c r="D104" s="6"/>
      <c r="E104" s="20" t="s">
        <v>302</v>
      </c>
      <c r="F104" s="47" t="s">
        <v>303</v>
      </c>
      <c r="G104" s="21" t="str">
        <f t="shared" si="3"/>
        <v>1972</v>
      </c>
      <c r="H104" s="22">
        <f t="shared" si="4"/>
        <v>54</v>
      </c>
      <c r="I104" s="23"/>
      <c r="J104" s="20" t="s">
        <v>27</v>
      </c>
      <c r="K104" s="6" t="s">
        <v>32</v>
      </c>
      <c r="L104" s="45" t="s">
        <v>304</v>
      </c>
      <c r="M104" s="45" t="s">
        <v>305</v>
      </c>
      <c r="N104" s="6"/>
      <c r="O104" s="6" t="s">
        <v>87</v>
      </c>
      <c r="P104" s="6">
        <v>148</v>
      </c>
      <c r="Q104" s="6">
        <v>56</v>
      </c>
      <c r="R104" s="26">
        <v>75</v>
      </c>
      <c r="S104" s="26">
        <v>9</v>
      </c>
      <c r="T104" s="26">
        <v>9</v>
      </c>
      <c r="U104" s="26"/>
      <c r="W104" s="4">
        <v>17</v>
      </c>
    </row>
    <row r="105" spans="1:23">
      <c r="A105" s="17">
        <v>95</v>
      </c>
      <c r="B105" s="27">
        <v>46032</v>
      </c>
      <c r="C105" s="6" t="s">
        <v>306</v>
      </c>
      <c r="D105" s="6"/>
      <c r="E105" s="20" t="s">
        <v>40</v>
      </c>
      <c r="F105" s="21">
        <v>11949</v>
      </c>
      <c r="G105" s="21" t="str">
        <f t="shared" si="3"/>
        <v>1949</v>
      </c>
      <c r="H105" s="22">
        <f t="shared" si="4"/>
        <v>77</v>
      </c>
      <c r="I105" s="23"/>
      <c r="J105" s="20" t="s">
        <v>27</v>
      </c>
      <c r="K105" s="6" t="s">
        <v>32</v>
      </c>
      <c r="L105" s="45" t="s">
        <v>307</v>
      </c>
      <c r="M105" s="45" t="s">
        <v>308</v>
      </c>
      <c r="N105" s="6"/>
      <c r="O105" s="6" t="s">
        <v>309</v>
      </c>
      <c r="P105" s="6">
        <v>159</v>
      </c>
      <c r="Q105" s="6">
        <v>55</v>
      </c>
      <c r="R105" s="26">
        <v>90</v>
      </c>
      <c r="S105" s="26">
        <v>10</v>
      </c>
      <c r="T105" s="26">
        <v>10</v>
      </c>
      <c r="U105" s="26"/>
      <c r="W105" s="4">
        <v>18</v>
      </c>
    </row>
    <row r="106" spans="1:23">
      <c r="A106" s="20">
        <v>96</v>
      </c>
      <c r="B106" s="27">
        <v>46032</v>
      </c>
      <c r="C106" s="6" t="s">
        <v>310</v>
      </c>
      <c r="D106" s="6"/>
      <c r="E106" s="20" t="s">
        <v>2374</v>
      </c>
      <c r="F106" s="21">
        <v>14081983</v>
      </c>
      <c r="G106" s="21" t="str">
        <f t="shared" si="3"/>
        <v>1983</v>
      </c>
      <c r="H106" s="22">
        <f t="shared" si="4"/>
        <v>43</v>
      </c>
      <c r="I106" s="23"/>
      <c r="J106" s="20" t="s">
        <v>27</v>
      </c>
      <c r="K106" s="6" t="s">
        <v>32</v>
      </c>
      <c r="L106" s="45" t="s">
        <v>311</v>
      </c>
      <c r="M106" s="45" t="s">
        <v>312</v>
      </c>
      <c r="N106" s="6"/>
      <c r="O106" s="6" t="s">
        <v>313</v>
      </c>
      <c r="P106" s="6">
        <v>158</v>
      </c>
      <c r="Q106" s="6">
        <v>57</v>
      </c>
      <c r="R106" s="26">
        <v>67</v>
      </c>
      <c r="S106" s="26">
        <v>8</v>
      </c>
      <c r="T106" s="26">
        <v>9</v>
      </c>
      <c r="U106" s="26"/>
      <c r="W106" s="4">
        <v>19</v>
      </c>
    </row>
    <row r="107" spans="1:23">
      <c r="A107" s="17">
        <v>97</v>
      </c>
      <c r="B107" s="27">
        <v>46032</v>
      </c>
      <c r="C107" s="6" t="s">
        <v>314</v>
      </c>
      <c r="D107" s="6"/>
      <c r="E107" s="20" t="s">
        <v>2374</v>
      </c>
      <c r="F107" s="21">
        <v>18061976</v>
      </c>
      <c r="G107" s="21" t="str">
        <f t="shared" ref="G107:G138" si="5">RIGHT(F107,4)</f>
        <v>1976</v>
      </c>
      <c r="H107" s="22">
        <f t="shared" si="4"/>
        <v>50</v>
      </c>
      <c r="I107" s="23"/>
      <c r="J107" s="20" t="s">
        <v>27</v>
      </c>
      <c r="K107" s="6" t="s">
        <v>32</v>
      </c>
      <c r="L107" s="45" t="s">
        <v>315</v>
      </c>
      <c r="M107" s="45" t="s">
        <v>316</v>
      </c>
      <c r="N107" s="6"/>
      <c r="O107" s="6" t="s">
        <v>60</v>
      </c>
      <c r="P107" s="6">
        <v>156</v>
      </c>
      <c r="Q107" s="6">
        <v>61</v>
      </c>
      <c r="R107" s="26">
        <v>63</v>
      </c>
      <c r="S107" s="26">
        <v>7</v>
      </c>
      <c r="T107" s="26">
        <v>8</v>
      </c>
      <c r="U107" s="26"/>
      <c r="W107" s="4">
        <v>20</v>
      </c>
    </row>
    <row r="108" spans="1:23">
      <c r="A108" s="20">
        <v>98</v>
      </c>
      <c r="B108" s="27">
        <v>46032</v>
      </c>
      <c r="C108" s="6" t="s">
        <v>317</v>
      </c>
      <c r="D108" s="6"/>
      <c r="E108" s="20" t="s">
        <v>2374</v>
      </c>
      <c r="F108" s="21">
        <v>27041980</v>
      </c>
      <c r="G108" s="21" t="str">
        <f t="shared" si="5"/>
        <v>1980</v>
      </c>
      <c r="H108" s="22">
        <f t="shared" si="4"/>
        <v>46</v>
      </c>
      <c r="I108" s="29"/>
      <c r="J108" s="20" t="s">
        <v>27</v>
      </c>
      <c r="K108" s="6" t="s">
        <v>32</v>
      </c>
      <c r="L108" s="45" t="s">
        <v>318</v>
      </c>
      <c r="M108" s="45" t="s">
        <v>319</v>
      </c>
      <c r="N108" s="6"/>
      <c r="O108" s="6" t="s">
        <v>320</v>
      </c>
      <c r="P108" s="6">
        <v>150</v>
      </c>
      <c r="Q108" s="6">
        <v>44</v>
      </c>
      <c r="R108" s="26">
        <v>72</v>
      </c>
      <c r="S108" s="26">
        <v>9</v>
      </c>
      <c r="T108" s="26" t="s">
        <v>210</v>
      </c>
      <c r="U108" s="26"/>
      <c r="V108" s="6" t="s">
        <v>321</v>
      </c>
      <c r="W108" s="4">
        <v>21</v>
      </c>
    </row>
    <row r="109" spans="1:23">
      <c r="A109" s="17">
        <v>99</v>
      </c>
      <c r="B109" s="27">
        <v>46032</v>
      </c>
      <c r="C109" s="6" t="s">
        <v>322</v>
      </c>
      <c r="D109" s="6"/>
      <c r="E109" s="20" t="s">
        <v>40</v>
      </c>
      <c r="F109" s="21">
        <v>1011950</v>
      </c>
      <c r="G109" s="21" t="str">
        <f t="shared" si="5"/>
        <v>1950</v>
      </c>
      <c r="H109" s="22">
        <f t="shared" si="4"/>
        <v>76</v>
      </c>
      <c r="I109" s="29"/>
      <c r="J109" s="20" t="s">
        <v>27</v>
      </c>
      <c r="K109" s="6" t="s">
        <v>32</v>
      </c>
      <c r="L109" s="25"/>
      <c r="M109" s="45" t="s">
        <v>323</v>
      </c>
      <c r="N109" s="6"/>
      <c r="O109" s="6" t="s">
        <v>149</v>
      </c>
      <c r="P109" s="6">
        <v>152</v>
      </c>
      <c r="Q109" s="6">
        <v>50</v>
      </c>
      <c r="R109" s="26">
        <v>80</v>
      </c>
      <c r="S109" s="26">
        <v>5</v>
      </c>
      <c r="T109" s="26">
        <v>2</v>
      </c>
      <c r="U109" s="26"/>
      <c r="V109" s="6" t="s">
        <v>252</v>
      </c>
      <c r="W109" s="4">
        <v>22</v>
      </c>
    </row>
    <row r="110" spans="1:23">
      <c r="A110" s="20">
        <v>100</v>
      </c>
      <c r="B110" s="27">
        <v>46032</v>
      </c>
      <c r="C110" s="6" t="s">
        <v>324</v>
      </c>
      <c r="D110" s="6"/>
      <c r="E110" s="20" t="s">
        <v>40</v>
      </c>
      <c r="F110" s="21">
        <v>10011955</v>
      </c>
      <c r="G110" s="21" t="str">
        <f t="shared" si="5"/>
        <v>1955</v>
      </c>
      <c r="H110" s="22">
        <f t="shared" si="4"/>
        <v>71</v>
      </c>
      <c r="I110" s="29"/>
      <c r="J110" s="20" t="s">
        <v>27</v>
      </c>
      <c r="K110" s="6" t="s">
        <v>32</v>
      </c>
      <c r="L110" s="25"/>
      <c r="M110" s="45" t="s">
        <v>325</v>
      </c>
      <c r="N110" s="6"/>
      <c r="O110" s="6" t="s">
        <v>326</v>
      </c>
      <c r="P110" s="6">
        <v>150</v>
      </c>
      <c r="Q110" s="6">
        <v>55</v>
      </c>
      <c r="R110" s="26">
        <v>81</v>
      </c>
      <c r="S110" s="26">
        <v>5</v>
      </c>
      <c r="T110" s="26">
        <v>4</v>
      </c>
      <c r="U110" s="26"/>
      <c r="V110" s="6" t="s">
        <v>252</v>
      </c>
      <c r="W110" s="4">
        <v>23</v>
      </c>
    </row>
    <row r="111" spans="1:23">
      <c r="A111" s="17">
        <v>101</v>
      </c>
      <c r="B111" s="27">
        <v>46032</v>
      </c>
      <c r="C111" s="6" t="s">
        <v>327</v>
      </c>
      <c r="D111" s="6"/>
      <c r="E111" s="20" t="s">
        <v>2374</v>
      </c>
      <c r="F111" s="21">
        <v>18061974</v>
      </c>
      <c r="G111" s="21" t="str">
        <f t="shared" si="5"/>
        <v>1974</v>
      </c>
      <c r="H111" s="22">
        <f t="shared" si="4"/>
        <v>52</v>
      </c>
      <c r="I111" s="29" t="s">
        <v>27</v>
      </c>
      <c r="J111" s="20"/>
      <c r="K111" s="6" t="s">
        <v>32</v>
      </c>
      <c r="L111" s="45" t="s">
        <v>328</v>
      </c>
      <c r="M111" s="45" t="s">
        <v>329</v>
      </c>
      <c r="N111" s="6"/>
      <c r="O111" s="6" t="s">
        <v>330</v>
      </c>
      <c r="P111" s="6">
        <v>159</v>
      </c>
      <c r="Q111" s="6">
        <v>49</v>
      </c>
      <c r="R111" s="26">
        <v>84</v>
      </c>
      <c r="S111" s="26">
        <v>8</v>
      </c>
      <c r="T111" s="26">
        <v>8</v>
      </c>
      <c r="U111" s="26"/>
      <c r="W111" s="4">
        <v>24</v>
      </c>
    </row>
    <row r="112" spans="1:23">
      <c r="A112" s="20">
        <v>102</v>
      </c>
      <c r="B112" s="27">
        <v>46032</v>
      </c>
      <c r="C112" s="6" t="s">
        <v>230</v>
      </c>
      <c r="D112" s="6"/>
      <c r="E112" s="20" t="s">
        <v>2374</v>
      </c>
      <c r="F112" s="21">
        <v>5061978</v>
      </c>
      <c r="G112" s="21" t="str">
        <f t="shared" si="5"/>
        <v>1978</v>
      </c>
      <c r="H112" s="22">
        <f t="shared" si="4"/>
        <v>48</v>
      </c>
      <c r="I112" s="29" t="s">
        <v>27</v>
      </c>
      <c r="J112" s="20"/>
      <c r="K112" s="6" t="s">
        <v>32</v>
      </c>
      <c r="L112" s="45" t="s">
        <v>331</v>
      </c>
      <c r="M112" s="45" t="s">
        <v>332</v>
      </c>
      <c r="N112" s="6"/>
      <c r="O112" s="6" t="s">
        <v>333</v>
      </c>
      <c r="P112" s="6">
        <v>165</v>
      </c>
      <c r="Q112" s="6">
        <v>52</v>
      </c>
      <c r="R112" s="26"/>
      <c r="S112" s="26">
        <v>8</v>
      </c>
      <c r="T112" s="26">
        <v>8</v>
      </c>
      <c r="U112" s="26"/>
      <c r="V112" s="6" t="s">
        <v>334</v>
      </c>
      <c r="W112" s="4">
        <v>25</v>
      </c>
    </row>
    <row r="113" spans="1:23">
      <c r="A113" s="17">
        <v>103</v>
      </c>
      <c r="B113" s="27">
        <v>46032</v>
      </c>
      <c r="C113" s="6" t="s">
        <v>335</v>
      </c>
      <c r="D113" s="6"/>
      <c r="E113" s="20" t="s">
        <v>2374</v>
      </c>
      <c r="F113" s="21">
        <v>10061988</v>
      </c>
      <c r="G113" s="21" t="str">
        <f t="shared" si="5"/>
        <v>1988</v>
      </c>
      <c r="H113" s="22">
        <f t="shared" si="4"/>
        <v>38</v>
      </c>
      <c r="I113" s="29"/>
      <c r="J113" s="20" t="s">
        <v>27</v>
      </c>
      <c r="K113" s="6" t="s">
        <v>32</v>
      </c>
      <c r="L113" s="45" t="s">
        <v>336</v>
      </c>
      <c r="M113" s="45" t="s">
        <v>337</v>
      </c>
      <c r="N113" s="6"/>
      <c r="O113" s="6" t="s">
        <v>338</v>
      </c>
      <c r="P113" s="6">
        <v>150</v>
      </c>
      <c r="Q113" s="6">
        <v>52</v>
      </c>
      <c r="R113" s="26">
        <v>75</v>
      </c>
      <c r="S113" s="26">
        <v>8</v>
      </c>
      <c r="T113" s="26">
        <v>8</v>
      </c>
      <c r="U113" s="26"/>
      <c r="W113" s="4">
        <v>26</v>
      </c>
    </row>
    <row r="114" spans="1:23">
      <c r="A114" s="20">
        <v>104</v>
      </c>
      <c r="B114" s="27">
        <v>46032</v>
      </c>
      <c r="C114" s="6" t="s">
        <v>339</v>
      </c>
      <c r="D114" s="6"/>
      <c r="E114" s="20" t="s">
        <v>40</v>
      </c>
      <c r="F114" s="21">
        <v>10011953</v>
      </c>
      <c r="G114" s="21" t="str">
        <f t="shared" si="5"/>
        <v>1953</v>
      </c>
      <c r="H114" s="22">
        <f t="shared" si="4"/>
        <v>73</v>
      </c>
      <c r="I114" s="29"/>
      <c r="J114" s="20" t="s">
        <v>27</v>
      </c>
      <c r="K114" s="6" t="s">
        <v>32</v>
      </c>
      <c r="L114" s="25"/>
      <c r="M114" s="45" t="s">
        <v>340</v>
      </c>
      <c r="N114" s="6"/>
      <c r="O114" s="6" t="s">
        <v>38</v>
      </c>
      <c r="P114" s="6">
        <v>150</v>
      </c>
      <c r="Q114" s="6">
        <v>52</v>
      </c>
      <c r="R114" s="26">
        <v>75</v>
      </c>
      <c r="S114" s="26">
        <v>4</v>
      </c>
      <c r="T114" s="26">
        <v>4</v>
      </c>
      <c r="U114" s="26"/>
      <c r="V114" s="6" t="s">
        <v>334</v>
      </c>
      <c r="W114" s="4">
        <v>27</v>
      </c>
    </row>
    <row r="115" spans="1:23">
      <c r="A115" s="17">
        <v>105</v>
      </c>
      <c r="B115" s="27">
        <v>46032</v>
      </c>
      <c r="C115" s="6" t="s">
        <v>341</v>
      </c>
      <c r="D115" s="6"/>
      <c r="E115" s="20" t="s">
        <v>40</v>
      </c>
      <c r="F115" s="21">
        <v>2021950</v>
      </c>
      <c r="G115" s="21" t="str">
        <f t="shared" si="5"/>
        <v>1950</v>
      </c>
      <c r="H115" s="22">
        <f t="shared" si="4"/>
        <v>76</v>
      </c>
      <c r="I115" s="29"/>
      <c r="J115" s="20" t="s">
        <v>27</v>
      </c>
      <c r="K115" s="6" t="s">
        <v>32</v>
      </c>
      <c r="L115" s="25"/>
      <c r="M115" s="45" t="s">
        <v>342</v>
      </c>
      <c r="N115" s="6"/>
      <c r="O115" s="6" t="s">
        <v>143</v>
      </c>
      <c r="P115" s="6">
        <v>148</v>
      </c>
      <c r="Q115" s="6">
        <v>50</v>
      </c>
      <c r="R115" s="26">
        <v>72</v>
      </c>
      <c r="S115" s="26">
        <v>4</v>
      </c>
      <c r="T115" s="26">
        <v>5</v>
      </c>
      <c r="U115" s="26"/>
      <c r="V115" s="6" t="s">
        <v>252</v>
      </c>
      <c r="W115" s="4">
        <v>28</v>
      </c>
    </row>
    <row r="116" spans="1:23">
      <c r="A116" s="20">
        <v>106</v>
      </c>
      <c r="B116" s="27">
        <v>46032</v>
      </c>
      <c r="C116" s="6" t="s">
        <v>343</v>
      </c>
      <c r="D116" s="6"/>
      <c r="E116" s="20" t="s">
        <v>2374</v>
      </c>
      <c r="F116" s="21">
        <v>10091990</v>
      </c>
      <c r="G116" s="21" t="str">
        <f t="shared" si="5"/>
        <v>1990</v>
      </c>
      <c r="H116" s="22">
        <f t="shared" si="4"/>
        <v>36</v>
      </c>
      <c r="I116" s="29" t="s">
        <v>27</v>
      </c>
      <c r="J116" s="20"/>
      <c r="K116" s="6" t="s">
        <v>32</v>
      </c>
      <c r="L116" s="25"/>
      <c r="M116" s="45" t="s">
        <v>344</v>
      </c>
      <c r="N116" s="6"/>
      <c r="O116" s="6"/>
      <c r="P116" s="6">
        <v>173</v>
      </c>
      <c r="Q116" s="6">
        <v>70</v>
      </c>
      <c r="R116" s="26"/>
      <c r="S116" s="26">
        <v>10</v>
      </c>
      <c r="T116" s="26" t="s">
        <v>345</v>
      </c>
      <c r="U116" s="26"/>
      <c r="V116" s="6" t="s">
        <v>346</v>
      </c>
      <c r="W116" s="4">
        <v>29</v>
      </c>
    </row>
    <row r="117" spans="1:23">
      <c r="A117" s="17">
        <v>107</v>
      </c>
      <c r="B117" s="27">
        <v>46032</v>
      </c>
      <c r="C117" s="6" t="s">
        <v>347</v>
      </c>
      <c r="D117" s="6"/>
      <c r="E117" s="20" t="s">
        <v>2374</v>
      </c>
      <c r="F117" s="21">
        <v>15061993</v>
      </c>
      <c r="G117" s="21" t="str">
        <f t="shared" si="5"/>
        <v>1993</v>
      </c>
      <c r="H117" s="22">
        <f t="shared" si="4"/>
        <v>33</v>
      </c>
      <c r="I117" s="29" t="s">
        <v>27</v>
      </c>
      <c r="J117" s="20"/>
      <c r="K117" s="6" t="s">
        <v>32</v>
      </c>
      <c r="L117" s="25"/>
      <c r="M117" s="45" t="s">
        <v>348</v>
      </c>
      <c r="N117" s="6"/>
      <c r="O117" s="6"/>
      <c r="P117" s="6"/>
      <c r="Q117" s="6"/>
      <c r="R117" s="26"/>
      <c r="S117" s="26">
        <v>10</v>
      </c>
      <c r="T117" s="26">
        <v>10</v>
      </c>
      <c r="U117" s="26"/>
      <c r="W117" s="4">
        <v>30</v>
      </c>
    </row>
    <row r="118" spans="1:23">
      <c r="A118" s="20">
        <v>108</v>
      </c>
      <c r="B118" s="27">
        <v>46032</v>
      </c>
      <c r="C118" s="6" t="s">
        <v>349</v>
      </c>
      <c r="D118" s="6"/>
      <c r="E118" s="20" t="s">
        <v>40</v>
      </c>
      <c r="F118" s="21">
        <v>1011964</v>
      </c>
      <c r="G118" s="21" t="str">
        <f t="shared" si="5"/>
        <v>1964</v>
      </c>
      <c r="H118" s="22">
        <f t="shared" si="4"/>
        <v>62</v>
      </c>
      <c r="I118" s="29"/>
      <c r="J118" s="20" t="s">
        <v>27</v>
      </c>
      <c r="K118" s="6" t="s">
        <v>32</v>
      </c>
      <c r="L118" s="25"/>
      <c r="M118" s="45" t="s">
        <v>350</v>
      </c>
      <c r="N118" s="6"/>
      <c r="O118" s="6" t="s">
        <v>34</v>
      </c>
      <c r="P118" s="6">
        <v>155</v>
      </c>
      <c r="Q118" s="6">
        <v>49</v>
      </c>
      <c r="R118" s="26">
        <v>84</v>
      </c>
      <c r="S118" s="26">
        <v>7</v>
      </c>
      <c r="T118" s="26">
        <v>8</v>
      </c>
      <c r="U118" s="26"/>
      <c r="W118" s="4">
        <v>31</v>
      </c>
    </row>
    <row r="119" spans="1:23">
      <c r="A119" s="17">
        <v>109</v>
      </c>
      <c r="B119" s="27">
        <v>46032</v>
      </c>
      <c r="C119" s="6" t="s">
        <v>351</v>
      </c>
      <c r="D119" s="6"/>
      <c r="E119" s="20" t="s">
        <v>40</v>
      </c>
      <c r="F119" s="21">
        <v>15101946</v>
      </c>
      <c r="G119" s="21" t="str">
        <f t="shared" si="5"/>
        <v>1946</v>
      </c>
      <c r="H119" s="22">
        <f t="shared" si="4"/>
        <v>80</v>
      </c>
      <c r="I119" s="29"/>
      <c r="J119" s="20" t="s">
        <v>27</v>
      </c>
      <c r="K119" s="6" t="s">
        <v>32</v>
      </c>
      <c r="L119" s="25"/>
      <c r="M119" s="45" t="s">
        <v>352</v>
      </c>
      <c r="N119" s="6"/>
      <c r="O119" s="6" t="s">
        <v>30</v>
      </c>
      <c r="P119" s="6">
        <v>145</v>
      </c>
      <c r="Q119" s="6">
        <v>36</v>
      </c>
      <c r="R119" s="26">
        <v>75</v>
      </c>
      <c r="S119" s="26">
        <v>5</v>
      </c>
      <c r="T119" s="26">
        <v>5</v>
      </c>
      <c r="U119" s="26"/>
      <c r="V119" s="6" t="s">
        <v>353</v>
      </c>
      <c r="W119" s="4">
        <v>32</v>
      </c>
    </row>
    <row r="120" spans="1:23">
      <c r="A120" s="20">
        <v>110</v>
      </c>
      <c r="B120" s="27">
        <v>46032</v>
      </c>
      <c r="C120" s="6" t="s">
        <v>354</v>
      </c>
      <c r="D120" s="6"/>
      <c r="E120" s="20" t="s">
        <v>40</v>
      </c>
      <c r="F120" s="21">
        <v>3061956</v>
      </c>
      <c r="G120" s="21" t="str">
        <f t="shared" si="5"/>
        <v>1956</v>
      </c>
      <c r="H120" s="22">
        <f t="shared" si="4"/>
        <v>70</v>
      </c>
      <c r="I120" s="29"/>
      <c r="J120" s="20" t="s">
        <v>27</v>
      </c>
      <c r="K120" s="6" t="s">
        <v>32</v>
      </c>
      <c r="L120" s="25"/>
      <c r="M120" s="45" t="s">
        <v>355</v>
      </c>
      <c r="N120" s="6"/>
      <c r="O120" s="6" t="s">
        <v>356</v>
      </c>
      <c r="P120" s="6">
        <v>145</v>
      </c>
      <c r="Q120" s="6">
        <v>55</v>
      </c>
      <c r="R120" s="26">
        <v>100</v>
      </c>
      <c r="S120" s="26"/>
      <c r="T120" s="26"/>
      <c r="U120" s="26"/>
      <c r="V120" s="6" t="s">
        <v>334</v>
      </c>
      <c r="W120" s="4">
        <v>33</v>
      </c>
    </row>
    <row r="121" spans="1:23">
      <c r="A121" s="17">
        <v>111</v>
      </c>
      <c r="B121" s="27">
        <v>46032</v>
      </c>
      <c r="C121" s="6" t="s">
        <v>357</v>
      </c>
      <c r="D121" s="6"/>
      <c r="E121" s="20" t="s">
        <v>2374</v>
      </c>
      <c r="F121" s="21">
        <v>11101988</v>
      </c>
      <c r="G121" s="21" t="str">
        <f t="shared" si="5"/>
        <v>1988</v>
      </c>
      <c r="H121" s="22">
        <f t="shared" si="4"/>
        <v>38</v>
      </c>
      <c r="I121" s="29" t="s">
        <v>27</v>
      </c>
      <c r="J121" s="20"/>
      <c r="K121" s="6" t="s">
        <v>32</v>
      </c>
      <c r="L121" s="25"/>
      <c r="M121" s="45" t="s">
        <v>358</v>
      </c>
      <c r="N121" s="6"/>
      <c r="O121" s="6" t="s">
        <v>87</v>
      </c>
      <c r="P121" s="6">
        <v>160</v>
      </c>
      <c r="Q121" s="6">
        <v>57</v>
      </c>
      <c r="R121" s="26">
        <v>80</v>
      </c>
      <c r="S121" s="30"/>
      <c r="T121" s="30"/>
      <c r="U121" s="26"/>
      <c r="W121" s="4">
        <v>34</v>
      </c>
    </row>
    <row r="122" spans="1:23">
      <c r="A122" s="20">
        <v>112</v>
      </c>
      <c r="B122" s="27">
        <v>46032</v>
      </c>
      <c r="C122" s="6" t="s">
        <v>359</v>
      </c>
      <c r="D122" s="6"/>
      <c r="E122" s="20" t="s">
        <v>2374</v>
      </c>
      <c r="F122" s="21">
        <v>5051974</v>
      </c>
      <c r="G122" s="21" t="str">
        <f t="shared" si="5"/>
        <v>1974</v>
      </c>
      <c r="H122" s="22">
        <f t="shared" si="4"/>
        <v>52</v>
      </c>
      <c r="I122" s="29" t="s">
        <v>27</v>
      </c>
      <c r="J122" s="20"/>
      <c r="K122" s="6" t="s">
        <v>32</v>
      </c>
      <c r="L122" s="25"/>
      <c r="M122" s="45" t="s">
        <v>360</v>
      </c>
      <c r="N122" s="6"/>
      <c r="O122" s="6" t="s">
        <v>87</v>
      </c>
      <c r="P122" s="6">
        <v>160</v>
      </c>
      <c r="Q122" s="6">
        <v>70</v>
      </c>
      <c r="R122" s="26">
        <v>80</v>
      </c>
      <c r="S122" s="26"/>
      <c r="T122" s="26"/>
      <c r="U122" s="26"/>
      <c r="W122" s="4">
        <v>35</v>
      </c>
    </row>
    <row r="123" spans="1:23">
      <c r="A123" s="17">
        <v>113</v>
      </c>
      <c r="B123" s="27">
        <v>46032</v>
      </c>
      <c r="C123" s="6" t="s">
        <v>361</v>
      </c>
      <c r="D123" s="6"/>
      <c r="E123" s="20" t="s">
        <v>2374</v>
      </c>
      <c r="F123" s="21">
        <v>6121990</v>
      </c>
      <c r="G123" s="21" t="str">
        <f t="shared" si="5"/>
        <v>1990</v>
      </c>
      <c r="H123" s="22">
        <f t="shared" si="4"/>
        <v>36</v>
      </c>
      <c r="I123" s="29"/>
      <c r="J123" s="20" t="s">
        <v>27</v>
      </c>
      <c r="K123" s="6" t="s">
        <v>32</v>
      </c>
      <c r="L123" s="25"/>
      <c r="M123" s="45" t="s">
        <v>362</v>
      </c>
      <c r="N123" s="31"/>
      <c r="O123" s="6" t="s">
        <v>363</v>
      </c>
      <c r="P123" s="6">
        <v>153</v>
      </c>
      <c r="Q123" s="6">
        <v>57</v>
      </c>
      <c r="R123" s="26">
        <v>86</v>
      </c>
      <c r="S123" s="26" t="s">
        <v>364</v>
      </c>
      <c r="T123" s="26"/>
      <c r="U123" s="26"/>
      <c r="W123" s="4">
        <v>36</v>
      </c>
    </row>
    <row r="124" spans="1:23">
      <c r="A124" s="20">
        <v>114</v>
      </c>
      <c r="B124" s="27">
        <v>46032</v>
      </c>
      <c r="C124" s="6" t="s">
        <v>365</v>
      </c>
      <c r="D124" s="6"/>
      <c r="E124" s="20" t="s">
        <v>40</v>
      </c>
      <c r="F124" s="21">
        <v>15031945</v>
      </c>
      <c r="G124" s="21" t="str">
        <f t="shared" si="5"/>
        <v>1945</v>
      </c>
      <c r="H124" s="22">
        <f t="shared" si="4"/>
        <v>81</v>
      </c>
      <c r="I124" s="29"/>
      <c r="J124" s="20" t="s">
        <v>27</v>
      </c>
      <c r="K124" s="6" t="s">
        <v>32</v>
      </c>
      <c r="L124" s="25"/>
      <c r="M124" s="45" t="s">
        <v>366</v>
      </c>
      <c r="N124" s="31"/>
      <c r="O124" s="6" t="s">
        <v>367</v>
      </c>
      <c r="P124" s="6">
        <v>145</v>
      </c>
      <c r="Q124" s="6">
        <v>45</v>
      </c>
      <c r="R124" s="26">
        <v>96</v>
      </c>
      <c r="S124" s="26" t="s">
        <v>345</v>
      </c>
      <c r="T124" s="26"/>
      <c r="U124" s="26"/>
      <c r="V124" s="6" t="s">
        <v>334</v>
      </c>
      <c r="W124" s="4">
        <v>37</v>
      </c>
    </row>
    <row r="125" spans="1:23">
      <c r="A125" s="17">
        <v>115</v>
      </c>
      <c r="B125" s="27">
        <v>46032</v>
      </c>
      <c r="C125" s="6" t="s">
        <v>368</v>
      </c>
      <c r="D125" s="6"/>
      <c r="E125" s="20" t="s">
        <v>40</v>
      </c>
      <c r="F125" s="21">
        <v>6061946</v>
      </c>
      <c r="G125" s="21" t="str">
        <f t="shared" si="5"/>
        <v>1946</v>
      </c>
      <c r="H125" s="22">
        <f t="shared" si="4"/>
        <v>80</v>
      </c>
      <c r="I125" s="29" t="s">
        <v>27</v>
      </c>
      <c r="J125" s="20"/>
      <c r="K125" s="6" t="s">
        <v>32</v>
      </c>
      <c r="L125" s="25"/>
      <c r="M125" s="45" t="s">
        <v>369</v>
      </c>
      <c r="N125" s="31"/>
      <c r="O125" s="6" t="s">
        <v>370</v>
      </c>
      <c r="P125" s="6">
        <v>167</v>
      </c>
      <c r="Q125" s="6">
        <v>55</v>
      </c>
      <c r="R125" s="26">
        <v>81</v>
      </c>
      <c r="S125" s="26"/>
      <c r="T125" s="26"/>
      <c r="U125" s="26"/>
      <c r="V125" s="6" t="s">
        <v>334</v>
      </c>
      <c r="W125" s="4">
        <v>38</v>
      </c>
    </row>
    <row r="126" spans="1:23">
      <c r="A126" s="20">
        <v>116</v>
      </c>
      <c r="B126" s="27">
        <v>46032</v>
      </c>
      <c r="C126" s="6" t="s">
        <v>371</v>
      </c>
      <c r="D126" s="6"/>
      <c r="E126" s="20" t="s">
        <v>40</v>
      </c>
      <c r="F126" s="21">
        <v>5061947</v>
      </c>
      <c r="G126" s="21" t="str">
        <f t="shared" si="5"/>
        <v>1947</v>
      </c>
      <c r="H126" s="22">
        <f t="shared" si="4"/>
        <v>79</v>
      </c>
      <c r="I126" s="29"/>
      <c r="J126" s="20" t="s">
        <v>27</v>
      </c>
      <c r="K126" s="6" t="s">
        <v>32</v>
      </c>
      <c r="L126" s="25"/>
      <c r="M126" s="45" t="s">
        <v>372</v>
      </c>
      <c r="N126" s="31"/>
      <c r="O126" s="6" t="s">
        <v>373</v>
      </c>
      <c r="P126" s="6">
        <v>152</v>
      </c>
      <c r="Q126" s="6">
        <v>45</v>
      </c>
      <c r="R126" s="26">
        <v>90</v>
      </c>
      <c r="S126" s="26"/>
      <c r="T126" s="26"/>
      <c r="U126" s="26"/>
      <c r="V126" s="6" t="s">
        <v>334</v>
      </c>
      <c r="W126" s="4">
        <v>39</v>
      </c>
    </row>
    <row r="127" spans="1:23">
      <c r="A127" s="17">
        <v>117</v>
      </c>
      <c r="B127" s="27">
        <v>46032</v>
      </c>
      <c r="C127" s="6" t="s">
        <v>374</v>
      </c>
      <c r="D127" s="6"/>
      <c r="E127" s="20" t="s">
        <v>40</v>
      </c>
      <c r="F127" s="21">
        <v>15011942</v>
      </c>
      <c r="G127" s="21" t="str">
        <f t="shared" si="5"/>
        <v>1942</v>
      </c>
      <c r="H127" s="22">
        <f t="shared" si="4"/>
        <v>84</v>
      </c>
      <c r="I127" s="29"/>
      <c r="J127" s="20" t="s">
        <v>27</v>
      </c>
      <c r="K127" s="6" t="s">
        <v>32</v>
      </c>
      <c r="L127" s="25"/>
      <c r="M127" s="45" t="s">
        <v>375</v>
      </c>
      <c r="N127" s="31"/>
      <c r="O127" s="6" t="s">
        <v>376</v>
      </c>
      <c r="P127" s="6">
        <v>145</v>
      </c>
      <c r="Q127" s="6">
        <v>52</v>
      </c>
      <c r="R127" s="26">
        <v>95</v>
      </c>
      <c r="S127" s="26"/>
      <c r="T127" s="26"/>
      <c r="U127" s="26"/>
      <c r="V127" s="6" t="s">
        <v>377</v>
      </c>
      <c r="W127" s="4">
        <v>40</v>
      </c>
    </row>
    <row r="128" spans="1:23">
      <c r="A128" s="20">
        <v>118</v>
      </c>
      <c r="B128" s="27">
        <v>46032</v>
      </c>
      <c r="C128" s="6" t="s">
        <v>378</v>
      </c>
      <c r="D128" s="6"/>
      <c r="E128" s="20" t="s">
        <v>2374</v>
      </c>
      <c r="F128" s="21">
        <v>2031974</v>
      </c>
      <c r="G128" s="21" t="str">
        <f t="shared" si="5"/>
        <v>1974</v>
      </c>
      <c r="H128" s="22">
        <f t="shared" si="4"/>
        <v>52</v>
      </c>
      <c r="I128" s="29"/>
      <c r="J128" s="20" t="s">
        <v>27</v>
      </c>
      <c r="K128" s="6" t="s">
        <v>32</v>
      </c>
      <c r="L128" s="25"/>
      <c r="M128" s="45" t="s">
        <v>379</v>
      </c>
      <c r="N128" s="31"/>
      <c r="O128" s="6" t="s">
        <v>380</v>
      </c>
      <c r="P128" s="6">
        <v>163</v>
      </c>
      <c r="Q128" s="6">
        <v>60</v>
      </c>
      <c r="R128" s="26">
        <v>88</v>
      </c>
      <c r="S128" s="26"/>
      <c r="T128" s="26"/>
      <c r="U128" s="26"/>
      <c r="W128" s="4">
        <v>41</v>
      </c>
    </row>
    <row r="129" spans="1:23">
      <c r="A129" s="17">
        <v>119</v>
      </c>
      <c r="B129" s="27">
        <v>46032</v>
      </c>
      <c r="C129" s="6" t="s">
        <v>381</v>
      </c>
      <c r="D129" s="6"/>
      <c r="E129" s="20" t="s">
        <v>40</v>
      </c>
      <c r="F129" s="21">
        <v>15051958</v>
      </c>
      <c r="G129" s="21" t="str">
        <f t="shared" si="5"/>
        <v>1958</v>
      </c>
      <c r="H129" s="22">
        <f t="shared" si="4"/>
        <v>68</v>
      </c>
      <c r="I129" s="29" t="s">
        <v>27</v>
      </c>
      <c r="J129" s="20"/>
      <c r="K129" s="6" t="s">
        <v>32</v>
      </c>
      <c r="L129" s="25"/>
      <c r="M129" s="45" t="s">
        <v>382</v>
      </c>
      <c r="N129" s="31"/>
      <c r="O129" s="6" t="s">
        <v>383</v>
      </c>
      <c r="P129" s="6">
        <v>160</v>
      </c>
      <c r="Q129" s="6">
        <v>57</v>
      </c>
      <c r="R129" s="26">
        <v>88</v>
      </c>
      <c r="S129" s="26"/>
      <c r="T129" s="26"/>
      <c r="U129" s="26"/>
      <c r="V129" s="6" t="s">
        <v>334</v>
      </c>
      <c r="W129" s="4">
        <v>42</v>
      </c>
    </row>
    <row r="130" spans="1:23">
      <c r="A130" s="20">
        <v>120</v>
      </c>
      <c r="B130" s="27">
        <v>46032</v>
      </c>
      <c r="C130" s="6" t="s">
        <v>384</v>
      </c>
      <c r="D130" s="6"/>
      <c r="E130" s="20" t="s">
        <v>40</v>
      </c>
      <c r="F130" s="21">
        <v>10051942</v>
      </c>
      <c r="G130" s="21" t="str">
        <f t="shared" si="5"/>
        <v>1942</v>
      </c>
      <c r="H130" s="22">
        <f t="shared" si="4"/>
        <v>84</v>
      </c>
      <c r="I130" s="29"/>
      <c r="J130" s="20" t="s">
        <v>27</v>
      </c>
      <c r="K130" s="6" t="s">
        <v>32</v>
      </c>
      <c r="L130" s="25"/>
      <c r="M130" s="45" t="s">
        <v>385</v>
      </c>
      <c r="N130" s="31"/>
      <c r="O130" s="6" t="s">
        <v>386</v>
      </c>
      <c r="P130" s="6">
        <v>150</v>
      </c>
      <c r="Q130" s="6">
        <v>56</v>
      </c>
      <c r="R130" s="26">
        <v>114</v>
      </c>
      <c r="S130" s="26"/>
      <c r="T130" s="26"/>
      <c r="U130" s="26"/>
      <c r="W130" s="4">
        <v>43</v>
      </c>
    </row>
    <row r="131" spans="1:23">
      <c r="A131" s="17">
        <v>121</v>
      </c>
      <c r="B131" s="27">
        <v>46032</v>
      </c>
      <c r="C131" s="6" t="s">
        <v>387</v>
      </c>
      <c r="D131" s="6"/>
      <c r="E131" s="20" t="s">
        <v>40</v>
      </c>
      <c r="F131" s="21">
        <v>10011952</v>
      </c>
      <c r="G131" s="21" t="str">
        <f t="shared" si="5"/>
        <v>1952</v>
      </c>
      <c r="H131" s="22">
        <f t="shared" si="4"/>
        <v>74</v>
      </c>
      <c r="I131" s="29"/>
      <c r="J131" s="20" t="s">
        <v>27</v>
      </c>
      <c r="K131" s="6" t="s">
        <v>32</v>
      </c>
      <c r="L131" s="25"/>
      <c r="M131" s="45" t="s">
        <v>388</v>
      </c>
      <c r="N131" s="31"/>
      <c r="O131" s="6" t="s">
        <v>389</v>
      </c>
      <c r="P131" s="6">
        <v>150</v>
      </c>
      <c r="Q131" s="6">
        <v>50</v>
      </c>
      <c r="R131" s="26">
        <v>69</v>
      </c>
      <c r="S131" s="26"/>
      <c r="T131" s="26"/>
      <c r="U131" s="26"/>
      <c r="V131" s="6" t="s">
        <v>252</v>
      </c>
      <c r="W131" s="4">
        <v>44</v>
      </c>
    </row>
    <row r="132" spans="1:23">
      <c r="A132" s="20">
        <v>122</v>
      </c>
      <c r="B132" s="27">
        <v>46032</v>
      </c>
      <c r="C132" s="6" t="s">
        <v>390</v>
      </c>
      <c r="D132" s="6"/>
      <c r="E132" s="20" t="s">
        <v>40</v>
      </c>
      <c r="F132" s="21">
        <v>1101933</v>
      </c>
      <c r="G132" s="21" t="str">
        <f t="shared" si="5"/>
        <v>1933</v>
      </c>
      <c r="H132" s="22">
        <f t="shared" si="4"/>
        <v>93</v>
      </c>
      <c r="I132" s="29" t="s">
        <v>27</v>
      </c>
      <c r="J132" s="20"/>
      <c r="K132" s="6" t="s">
        <v>32</v>
      </c>
      <c r="L132" s="25"/>
      <c r="M132" s="45" t="s">
        <v>391</v>
      </c>
      <c r="N132" s="31"/>
      <c r="O132" s="6" t="s">
        <v>392</v>
      </c>
      <c r="P132" s="6">
        <v>165</v>
      </c>
      <c r="Q132" s="6">
        <v>44</v>
      </c>
      <c r="R132" s="26">
        <v>111</v>
      </c>
      <c r="S132" s="26"/>
      <c r="T132" s="26"/>
      <c r="U132" s="26"/>
      <c r="V132" s="6" t="s">
        <v>334</v>
      </c>
      <c r="W132" s="4">
        <v>45</v>
      </c>
    </row>
    <row r="133" spans="1:23">
      <c r="A133" s="17">
        <v>123</v>
      </c>
      <c r="B133" s="27">
        <v>46032</v>
      </c>
      <c r="C133" s="6" t="s">
        <v>393</v>
      </c>
      <c r="D133" s="6"/>
      <c r="E133" s="20" t="s">
        <v>2374</v>
      </c>
      <c r="F133" s="21">
        <v>9041997</v>
      </c>
      <c r="G133" s="21" t="str">
        <f t="shared" si="5"/>
        <v>1997</v>
      </c>
      <c r="H133" s="22">
        <f t="shared" si="4"/>
        <v>29</v>
      </c>
      <c r="I133" s="29"/>
      <c r="J133" s="20" t="s">
        <v>27</v>
      </c>
      <c r="K133" s="6" t="s">
        <v>32</v>
      </c>
      <c r="L133" s="25"/>
      <c r="M133" s="45" t="s">
        <v>394</v>
      </c>
      <c r="N133" s="31"/>
      <c r="O133" s="6" t="s">
        <v>395</v>
      </c>
      <c r="P133" s="6">
        <v>150</v>
      </c>
      <c r="Q133" s="6">
        <v>52</v>
      </c>
      <c r="R133" s="26">
        <v>91</v>
      </c>
      <c r="S133" s="26"/>
      <c r="T133" s="26"/>
      <c r="U133" s="26"/>
      <c r="W133" s="4">
        <v>46</v>
      </c>
    </row>
    <row r="134" spans="1:23">
      <c r="A134" s="20">
        <v>124</v>
      </c>
      <c r="B134" s="27">
        <v>46032</v>
      </c>
      <c r="C134" s="6" t="s">
        <v>396</v>
      </c>
      <c r="D134" s="6"/>
      <c r="E134" s="20" t="s">
        <v>2374</v>
      </c>
      <c r="F134" s="21">
        <v>1011975</v>
      </c>
      <c r="G134" s="21" t="str">
        <f t="shared" si="5"/>
        <v>1975</v>
      </c>
      <c r="H134" s="22">
        <f t="shared" si="4"/>
        <v>51</v>
      </c>
      <c r="I134" s="29"/>
      <c r="J134" s="20" t="s">
        <v>27</v>
      </c>
      <c r="K134" s="6"/>
      <c r="L134" s="25"/>
      <c r="M134" s="45" t="s">
        <v>397</v>
      </c>
      <c r="N134" s="6"/>
      <c r="O134" s="6" t="s">
        <v>34</v>
      </c>
      <c r="P134" s="6">
        <v>160</v>
      </c>
      <c r="Q134" s="6">
        <v>60</v>
      </c>
      <c r="R134" s="26">
        <v>80</v>
      </c>
      <c r="S134" s="26"/>
      <c r="T134" s="26"/>
      <c r="U134" s="26"/>
      <c r="W134" s="4">
        <v>47</v>
      </c>
    </row>
    <row r="135" spans="1:23">
      <c r="A135" s="17">
        <v>125</v>
      </c>
      <c r="B135" s="27">
        <v>46032</v>
      </c>
      <c r="C135" s="6" t="s">
        <v>398</v>
      </c>
      <c r="D135" s="6"/>
      <c r="E135" s="20" t="s">
        <v>40</v>
      </c>
      <c r="F135" s="21">
        <v>20071964</v>
      </c>
      <c r="G135" s="21" t="str">
        <f t="shared" si="5"/>
        <v>1964</v>
      </c>
      <c r="H135" s="22">
        <f t="shared" si="4"/>
        <v>62</v>
      </c>
      <c r="I135" s="29" t="s">
        <v>27</v>
      </c>
      <c r="J135" s="20"/>
      <c r="K135" s="6" t="s">
        <v>32</v>
      </c>
      <c r="L135" s="25"/>
      <c r="M135" s="45" t="s">
        <v>399</v>
      </c>
      <c r="N135" s="6"/>
      <c r="O135" s="6" t="s">
        <v>400</v>
      </c>
      <c r="P135" s="6">
        <v>160</v>
      </c>
      <c r="Q135" s="6">
        <v>50</v>
      </c>
      <c r="R135" s="26">
        <v>92</v>
      </c>
      <c r="S135" s="26"/>
      <c r="T135" s="26"/>
      <c r="U135" s="26"/>
      <c r="W135" s="4">
        <v>48</v>
      </c>
    </row>
    <row r="136" spans="1:23">
      <c r="A136" s="20">
        <v>126</v>
      </c>
      <c r="B136" s="27">
        <v>46032</v>
      </c>
      <c r="C136" s="6" t="s">
        <v>401</v>
      </c>
      <c r="D136" s="6"/>
      <c r="E136" s="20" t="s">
        <v>2374</v>
      </c>
      <c r="F136" s="21">
        <v>1011969</v>
      </c>
      <c r="G136" s="21" t="str">
        <f t="shared" si="5"/>
        <v>1969</v>
      </c>
      <c r="H136" s="22">
        <f t="shared" si="4"/>
        <v>57</v>
      </c>
      <c r="I136" s="29"/>
      <c r="J136" s="20" t="s">
        <v>27</v>
      </c>
      <c r="K136" s="6" t="s">
        <v>32</v>
      </c>
      <c r="L136" s="45" t="s">
        <v>402</v>
      </c>
      <c r="M136" s="45" t="s">
        <v>403</v>
      </c>
      <c r="N136" s="6"/>
      <c r="O136" s="6" t="s">
        <v>87</v>
      </c>
      <c r="P136" s="6">
        <v>160</v>
      </c>
      <c r="Q136" s="6">
        <v>60</v>
      </c>
      <c r="R136" s="26">
        <v>81</v>
      </c>
      <c r="S136" s="26"/>
      <c r="T136" s="26"/>
      <c r="U136" s="26"/>
      <c r="V136" s="6" t="s">
        <v>346</v>
      </c>
      <c r="W136" s="4">
        <v>49</v>
      </c>
    </row>
    <row r="137" spans="1:23">
      <c r="A137" s="17">
        <v>127</v>
      </c>
      <c r="B137" s="27">
        <v>46032</v>
      </c>
      <c r="C137" s="6" t="s">
        <v>404</v>
      </c>
      <c r="D137" s="6"/>
      <c r="E137" s="20" t="s">
        <v>2374</v>
      </c>
      <c r="F137" s="21">
        <v>3071967</v>
      </c>
      <c r="G137" s="21" t="str">
        <f t="shared" si="5"/>
        <v>1967</v>
      </c>
      <c r="H137" s="22">
        <f t="shared" si="4"/>
        <v>59</v>
      </c>
      <c r="I137" s="29" t="s">
        <v>27</v>
      </c>
      <c r="J137" s="20"/>
      <c r="K137" s="6" t="s">
        <v>32</v>
      </c>
      <c r="L137" s="45" t="s">
        <v>402</v>
      </c>
      <c r="M137" s="45" t="s">
        <v>405</v>
      </c>
      <c r="N137" s="6"/>
      <c r="O137" s="6" t="s">
        <v>30</v>
      </c>
      <c r="P137" s="6">
        <v>160</v>
      </c>
      <c r="Q137" s="6">
        <v>60</v>
      </c>
      <c r="R137" s="26">
        <v>72</v>
      </c>
      <c r="S137" s="26"/>
      <c r="T137" s="26"/>
      <c r="U137" s="26"/>
      <c r="V137" s="6" t="s">
        <v>406</v>
      </c>
      <c r="W137" s="4">
        <v>50</v>
      </c>
    </row>
    <row r="138" spans="1:23">
      <c r="A138" s="20">
        <v>128</v>
      </c>
      <c r="B138" s="27">
        <v>46032</v>
      </c>
      <c r="C138" s="6" t="s">
        <v>407</v>
      </c>
      <c r="D138" s="6"/>
      <c r="E138" s="20" t="s">
        <v>2374</v>
      </c>
      <c r="F138" s="21">
        <v>27111996</v>
      </c>
      <c r="G138" s="21" t="str">
        <f t="shared" si="5"/>
        <v>1996</v>
      </c>
      <c r="H138" s="22">
        <f t="shared" si="4"/>
        <v>30</v>
      </c>
      <c r="I138" s="29" t="s">
        <v>27</v>
      </c>
      <c r="J138" s="20"/>
      <c r="K138" s="6" t="s">
        <v>32</v>
      </c>
      <c r="L138" s="45" t="s">
        <v>408</v>
      </c>
      <c r="M138" s="45" t="s">
        <v>409</v>
      </c>
      <c r="N138" s="6"/>
      <c r="O138" s="6" t="s">
        <v>146</v>
      </c>
      <c r="P138" s="6">
        <v>165</v>
      </c>
      <c r="Q138" s="6">
        <v>60</v>
      </c>
      <c r="R138" s="26">
        <v>72</v>
      </c>
      <c r="S138" s="26"/>
      <c r="T138" s="26"/>
      <c r="U138" s="26"/>
      <c r="W138" s="4">
        <v>51</v>
      </c>
    </row>
    <row r="139" spans="1:23">
      <c r="A139" s="17">
        <v>129</v>
      </c>
      <c r="B139" s="27">
        <v>46032</v>
      </c>
      <c r="C139" s="6" t="s">
        <v>410</v>
      </c>
      <c r="D139" s="6"/>
      <c r="E139" s="20" t="s">
        <v>40</v>
      </c>
      <c r="F139" s="21">
        <v>1011952</v>
      </c>
      <c r="G139" s="21" t="str">
        <f t="shared" ref="G139:G170" si="6">RIGHT(F139,4)</f>
        <v>1952</v>
      </c>
      <c r="H139" s="22">
        <f t="shared" ref="H139:H202" si="7">2026-G139</f>
        <v>74</v>
      </c>
      <c r="I139" s="29"/>
      <c r="J139" s="20" t="s">
        <v>27</v>
      </c>
      <c r="K139" s="6" t="s">
        <v>32</v>
      </c>
      <c r="L139" s="25"/>
      <c r="M139" s="45" t="s">
        <v>411</v>
      </c>
      <c r="N139" s="6"/>
      <c r="O139" s="6"/>
      <c r="P139" s="6">
        <v>155</v>
      </c>
      <c r="Q139" s="6">
        <v>50</v>
      </c>
      <c r="R139" s="26"/>
      <c r="S139" s="26"/>
      <c r="T139" s="26"/>
      <c r="U139" s="26"/>
      <c r="W139" s="4">
        <v>52</v>
      </c>
    </row>
    <row r="140" spans="1:23">
      <c r="A140" s="20">
        <v>130</v>
      </c>
      <c r="B140" s="27">
        <v>46032</v>
      </c>
      <c r="C140" s="6" t="s">
        <v>412</v>
      </c>
      <c r="D140" s="6"/>
      <c r="E140" s="20" t="s">
        <v>2374</v>
      </c>
      <c r="F140" s="21">
        <v>7041971</v>
      </c>
      <c r="G140" s="21" t="str">
        <f t="shared" si="6"/>
        <v>1971</v>
      </c>
      <c r="H140" s="22">
        <f t="shared" si="7"/>
        <v>55</v>
      </c>
      <c r="I140" s="29"/>
      <c r="J140" s="20" t="s">
        <v>27</v>
      </c>
      <c r="K140" s="6" t="s">
        <v>32</v>
      </c>
      <c r="L140" s="25"/>
      <c r="M140" s="45" t="s">
        <v>413</v>
      </c>
      <c r="N140" s="6"/>
      <c r="O140" s="6" t="s">
        <v>113</v>
      </c>
      <c r="P140" s="6">
        <v>155</v>
      </c>
      <c r="Q140" s="6">
        <v>64</v>
      </c>
      <c r="R140" s="26">
        <v>73</v>
      </c>
      <c r="S140" s="26"/>
      <c r="T140" s="26"/>
      <c r="U140" s="26"/>
      <c r="V140" s="6" t="s">
        <v>414</v>
      </c>
    </row>
    <row r="141" spans="1:23">
      <c r="A141" s="17">
        <v>131</v>
      </c>
      <c r="B141" s="27">
        <v>46032</v>
      </c>
      <c r="C141" s="6" t="s">
        <v>415</v>
      </c>
      <c r="D141" s="6"/>
      <c r="E141" s="20" t="s">
        <v>40</v>
      </c>
      <c r="F141" s="21">
        <v>20101962</v>
      </c>
      <c r="G141" s="21" t="str">
        <f t="shared" si="6"/>
        <v>1962</v>
      </c>
      <c r="H141" s="22">
        <f t="shared" si="7"/>
        <v>64</v>
      </c>
      <c r="I141" s="29" t="s">
        <v>27</v>
      </c>
      <c r="J141" s="20"/>
      <c r="K141" s="6" t="s">
        <v>32</v>
      </c>
      <c r="L141" s="45" t="s">
        <v>416</v>
      </c>
      <c r="M141" s="45" t="s">
        <v>417</v>
      </c>
      <c r="N141" s="6"/>
      <c r="O141" s="6" t="s">
        <v>418</v>
      </c>
      <c r="P141" s="6">
        <v>155</v>
      </c>
      <c r="Q141" s="6">
        <v>42</v>
      </c>
      <c r="R141" s="26">
        <v>76</v>
      </c>
      <c r="S141" s="26"/>
      <c r="T141" s="26"/>
      <c r="U141" s="26"/>
      <c r="V141" s="6" t="s">
        <v>419</v>
      </c>
    </row>
    <row r="142" spans="1:23">
      <c r="A142" s="20">
        <v>132</v>
      </c>
      <c r="B142" s="27">
        <v>46032</v>
      </c>
      <c r="C142" s="6" t="s">
        <v>420</v>
      </c>
      <c r="D142" s="6"/>
      <c r="E142" s="20" t="s">
        <v>2374</v>
      </c>
      <c r="F142" s="21">
        <v>4051969</v>
      </c>
      <c r="G142" s="21" t="str">
        <f t="shared" si="6"/>
        <v>1969</v>
      </c>
      <c r="H142" s="22">
        <f t="shared" si="7"/>
        <v>57</v>
      </c>
      <c r="I142" s="29" t="s">
        <v>27</v>
      </c>
      <c r="J142" s="20"/>
      <c r="K142" s="6" t="s">
        <v>32</v>
      </c>
      <c r="L142" s="45" t="s">
        <v>421</v>
      </c>
      <c r="M142" s="45" t="s">
        <v>422</v>
      </c>
      <c r="N142" s="6"/>
      <c r="O142" s="6" t="s">
        <v>87</v>
      </c>
      <c r="P142" s="6">
        <v>155</v>
      </c>
      <c r="Q142" s="6">
        <v>50</v>
      </c>
      <c r="R142" s="26">
        <v>76</v>
      </c>
      <c r="S142" s="26"/>
      <c r="T142" s="26"/>
      <c r="U142" s="26"/>
    </row>
    <row r="143" spans="1:23">
      <c r="A143" s="17">
        <v>133</v>
      </c>
      <c r="B143" s="27">
        <v>46032</v>
      </c>
      <c r="C143" s="6" t="s">
        <v>423</v>
      </c>
      <c r="D143" s="6"/>
      <c r="E143" s="20" t="s">
        <v>40</v>
      </c>
      <c r="F143" s="21">
        <v>21031963</v>
      </c>
      <c r="G143" s="21" t="str">
        <f t="shared" si="6"/>
        <v>1963</v>
      </c>
      <c r="H143" s="22">
        <f t="shared" si="7"/>
        <v>63</v>
      </c>
      <c r="I143" s="29" t="s">
        <v>27</v>
      </c>
      <c r="J143" s="20"/>
      <c r="K143" s="6" t="s">
        <v>32</v>
      </c>
      <c r="L143" s="45" t="s">
        <v>424</v>
      </c>
      <c r="M143" s="45" t="s">
        <v>425</v>
      </c>
      <c r="N143" s="6"/>
      <c r="O143" s="6" t="s">
        <v>426</v>
      </c>
      <c r="P143" s="6">
        <v>165</v>
      </c>
      <c r="Q143" s="6">
        <v>45</v>
      </c>
      <c r="R143" s="26">
        <v>76</v>
      </c>
      <c r="S143" s="26"/>
      <c r="T143" s="26"/>
      <c r="U143" s="26"/>
      <c r="V143" s="6" t="s">
        <v>334</v>
      </c>
    </row>
    <row r="144" spans="1:23">
      <c r="A144" s="20">
        <v>134</v>
      </c>
      <c r="B144" s="27">
        <v>46032</v>
      </c>
      <c r="C144" s="6" t="s">
        <v>427</v>
      </c>
      <c r="D144" s="6"/>
      <c r="E144" s="20" t="s">
        <v>40</v>
      </c>
      <c r="F144" s="21">
        <v>2051963</v>
      </c>
      <c r="G144" s="21" t="str">
        <f t="shared" si="6"/>
        <v>1963</v>
      </c>
      <c r="H144" s="22">
        <f t="shared" si="7"/>
        <v>63</v>
      </c>
      <c r="I144" s="29"/>
      <c r="J144" s="20" t="s">
        <v>27</v>
      </c>
      <c r="K144" s="6" t="s">
        <v>32</v>
      </c>
      <c r="L144" s="45" t="s">
        <v>428</v>
      </c>
      <c r="M144" s="45" t="s">
        <v>429</v>
      </c>
      <c r="N144" s="6"/>
      <c r="O144" s="6" t="s">
        <v>430</v>
      </c>
      <c r="P144" s="6">
        <v>150</v>
      </c>
      <c r="Q144" s="6">
        <v>46</v>
      </c>
      <c r="R144" s="26">
        <v>69</v>
      </c>
      <c r="S144" s="26"/>
      <c r="T144" s="26"/>
      <c r="U144" s="26"/>
      <c r="V144" s="6" t="s">
        <v>334</v>
      </c>
    </row>
    <row r="145" spans="1:22">
      <c r="A145" s="17">
        <v>135</v>
      </c>
      <c r="B145" s="27">
        <v>46032</v>
      </c>
      <c r="C145" s="6" t="s">
        <v>431</v>
      </c>
      <c r="D145" s="6"/>
      <c r="E145" s="20" t="s">
        <v>40</v>
      </c>
      <c r="F145" s="21">
        <v>15051963</v>
      </c>
      <c r="G145" s="21" t="str">
        <f t="shared" si="6"/>
        <v>1963</v>
      </c>
      <c r="H145" s="22">
        <f t="shared" si="7"/>
        <v>63</v>
      </c>
      <c r="I145" s="29" t="s">
        <v>27</v>
      </c>
      <c r="J145" s="20"/>
      <c r="K145" s="6" t="s">
        <v>32</v>
      </c>
      <c r="L145" s="45" t="s">
        <v>432</v>
      </c>
      <c r="M145" s="45" t="s">
        <v>433</v>
      </c>
      <c r="N145" s="6"/>
      <c r="O145" s="6" t="s">
        <v>284</v>
      </c>
      <c r="P145" s="6">
        <v>165</v>
      </c>
      <c r="Q145" s="6">
        <v>61</v>
      </c>
      <c r="R145" s="26">
        <v>105</v>
      </c>
      <c r="S145" s="26"/>
      <c r="T145" s="26"/>
      <c r="U145" s="26"/>
      <c r="V145" s="6" t="s">
        <v>334</v>
      </c>
    </row>
    <row r="146" spans="1:22">
      <c r="A146" s="17">
        <v>136</v>
      </c>
      <c r="B146" s="27">
        <v>46032</v>
      </c>
      <c r="C146" s="6" t="s">
        <v>434</v>
      </c>
      <c r="D146" s="6"/>
      <c r="E146" s="20" t="s">
        <v>40</v>
      </c>
      <c r="F146" s="21">
        <v>5051958</v>
      </c>
      <c r="G146" s="21" t="str">
        <f t="shared" si="6"/>
        <v>1958</v>
      </c>
      <c r="H146" s="22">
        <f t="shared" si="7"/>
        <v>68</v>
      </c>
      <c r="I146" s="29"/>
      <c r="J146" s="20" t="s">
        <v>27</v>
      </c>
      <c r="K146" s="6" t="s">
        <v>32</v>
      </c>
      <c r="L146" s="45" t="s">
        <v>435</v>
      </c>
      <c r="M146" s="45" t="s">
        <v>436</v>
      </c>
      <c r="N146" s="6"/>
      <c r="O146" s="6" t="s">
        <v>437</v>
      </c>
      <c r="P146" s="6">
        <v>145</v>
      </c>
      <c r="Q146" s="6">
        <v>39</v>
      </c>
      <c r="R146" s="26">
        <v>91</v>
      </c>
      <c r="S146" s="26"/>
      <c r="T146" s="26"/>
      <c r="U146" s="26"/>
    </row>
    <row r="147" spans="1:22">
      <c r="A147" s="20">
        <v>137</v>
      </c>
      <c r="B147" s="27">
        <v>46032</v>
      </c>
      <c r="C147" s="6" t="s">
        <v>438</v>
      </c>
      <c r="D147" s="6"/>
      <c r="E147" s="20" t="s">
        <v>2374</v>
      </c>
      <c r="F147" s="21">
        <v>12121984</v>
      </c>
      <c r="G147" s="21" t="str">
        <f t="shared" si="6"/>
        <v>1984</v>
      </c>
      <c r="H147" s="22">
        <f t="shared" si="7"/>
        <v>42</v>
      </c>
      <c r="I147" s="29"/>
      <c r="J147" s="20" t="s">
        <v>27</v>
      </c>
      <c r="K147" s="6" t="s">
        <v>32</v>
      </c>
      <c r="L147" s="45" t="s">
        <v>439</v>
      </c>
      <c r="M147" s="45" t="s">
        <v>440</v>
      </c>
      <c r="N147" s="6"/>
      <c r="O147" s="6" t="s">
        <v>441</v>
      </c>
      <c r="P147" s="6">
        <v>150</v>
      </c>
      <c r="Q147" s="6">
        <v>50</v>
      </c>
      <c r="R147" s="26">
        <v>82</v>
      </c>
      <c r="S147" s="26"/>
      <c r="T147" s="26"/>
      <c r="U147" s="26"/>
    </row>
    <row r="148" spans="1:22">
      <c r="A148" s="17">
        <v>138</v>
      </c>
      <c r="B148" s="27">
        <v>46032</v>
      </c>
      <c r="C148" s="6" t="s">
        <v>442</v>
      </c>
      <c r="D148" s="6"/>
      <c r="E148" s="20" t="s">
        <v>2374</v>
      </c>
      <c r="F148" s="21">
        <v>12091973</v>
      </c>
      <c r="G148" s="21" t="str">
        <f t="shared" si="6"/>
        <v>1973</v>
      </c>
      <c r="H148" s="22">
        <f t="shared" si="7"/>
        <v>53</v>
      </c>
      <c r="I148" s="29"/>
      <c r="J148" s="20" t="s">
        <v>27</v>
      </c>
      <c r="K148" s="6" t="s">
        <v>32</v>
      </c>
      <c r="L148" s="45" t="s">
        <v>443</v>
      </c>
      <c r="M148" s="45" t="s">
        <v>444</v>
      </c>
      <c r="N148" s="6"/>
      <c r="O148" s="6" t="s">
        <v>113</v>
      </c>
      <c r="P148" s="6">
        <v>158</v>
      </c>
      <c r="Q148" s="6">
        <v>52</v>
      </c>
      <c r="R148" s="26">
        <v>75</v>
      </c>
      <c r="S148" s="26"/>
      <c r="T148" s="26"/>
      <c r="U148" s="26"/>
    </row>
    <row r="149" spans="1:22">
      <c r="A149" s="20">
        <v>139</v>
      </c>
      <c r="B149" s="27">
        <v>46032</v>
      </c>
      <c r="C149" s="6" t="s">
        <v>445</v>
      </c>
      <c r="D149" s="6"/>
      <c r="E149" s="20" t="s">
        <v>40</v>
      </c>
      <c r="F149" s="21">
        <v>3021964</v>
      </c>
      <c r="G149" s="21" t="str">
        <f t="shared" si="6"/>
        <v>1964</v>
      </c>
      <c r="H149" s="22">
        <f t="shared" si="7"/>
        <v>62</v>
      </c>
      <c r="I149" s="29"/>
      <c r="J149" s="20" t="s">
        <v>27</v>
      </c>
      <c r="K149" s="6" t="s">
        <v>32</v>
      </c>
      <c r="L149" s="25"/>
      <c r="M149" s="45" t="s">
        <v>446</v>
      </c>
      <c r="N149" s="6"/>
      <c r="O149" s="6" t="s">
        <v>136</v>
      </c>
      <c r="P149" s="6">
        <v>165</v>
      </c>
      <c r="Q149" s="6">
        <v>45</v>
      </c>
      <c r="R149" s="26">
        <v>72</v>
      </c>
      <c r="S149" s="26"/>
      <c r="T149" s="26"/>
      <c r="U149" s="26"/>
    </row>
    <row r="150" spans="1:22">
      <c r="A150" s="17">
        <v>140</v>
      </c>
      <c r="B150" s="27">
        <v>46032</v>
      </c>
      <c r="C150" s="6" t="s">
        <v>447</v>
      </c>
      <c r="D150" s="6"/>
      <c r="E150" s="20" t="s">
        <v>2374</v>
      </c>
      <c r="F150" s="21">
        <v>5031967</v>
      </c>
      <c r="G150" s="21" t="str">
        <f t="shared" si="6"/>
        <v>1967</v>
      </c>
      <c r="H150" s="22">
        <f t="shared" si="7"/>
        <v>59</v>
      </c>
      <c r="I150" s="29" t="s">
        <v>27</v>
      </c>
      <c r="J150" s="20"/>
      <c r="K150" s="6" t="s">
        <v>32</v>
      </c>
      <c r="L150" s="25"/>
      <c r="M150" s="45" t="s">
        <v>448</v>
      </c>
      <c r="N150" s="6"/>
      <c r="O150" s="6" t="s">
        <v>284</v>
      </c>
      <c r="P150" s="6">
        <v>169</v>
      </c>
      <c r="Q150" s="6">
        <v>64</v>
      </c>
      <c r="R150" s="26">
        <v>78</v>
      </c>
      <c r="S150" s="26"/>
      <c r="T150" s="26"/>
      <c r="U150" s="26"/>
      <c r="V150" s="6" t="s">
        <v>252</v>
      </c>
    </row>
    <row r="151" spans="1:22">
      <c r="A151" s="20">
        <v>141</v>
      </c>
      <c r="B151" s="27">
        <v>46032</v>
      </c>
      <c r="C151" s="6" t="s">
        <v>449</v>
      </c>
      <c r="D151" s="6"/>
      <c r="E151" s="20" t="s">
        <v>2374</v>
      </c>
      <c r="F151" s="21">
        <v>1021973</v>
      </c>
      <c r="G151" s="21" t="str">
        <f t="shared" si="6"/>
        <v>1973</v>
      </c>
      <c r="H151" s="22">
        <f t="shared" si="7"/>
        <v>53</v>
      </c>
      <c r="I151" s="29"/>
      <c r="J151" s="20" t="s">
        <v>27</v>
      </c>
      <c r="K151" s="6" t="s">
        <v>32</v>
      </c>
      <c r="L151" s="45" t="s">
        <v>450</v>
      </c>
      <c r="M151" s="45" t="s">
        <v>451</v>
      </c>
      <c r="N151" s="6"/>
      <c r="O151" s="6" t="s">
        <v>30</v>
      </c>
      <c r="P151" s="6">
        <v>152</v>
      </c>
      <c r="Q151" s="6">
        <v>55</v>
      </c>
      <c r="R151" s="26">
        <v>75</v>
      </c>
      <c r="S151" s="26"/>
      <c r="T151" s="26"/>
      <c r="U151" s="26"/>
    </row>
    <row r="152" spans="1:22">
      <c r="A152" s="17">
        <v>142</v>
      </c>
      <c r="B152" s="27">
        <v>46032</v>
      </c>
      <c r="C152" s="6" t="s">
        <v>452</v>
      </c>
      <c r="D152" s="6"/>
      <c r="E152" s="20" t="s">
        <v>40</v>
      </c>
      <c r="F152" s="21">
        <v>11011958</v>
      </c>
      <c r="G152" s="21" t="str">
        <f t="shared" si="6"/>
        <v>1958</v>
      </c>
      <c r="H152" s="22">
        <f t="shared" si="7"/>
        <v>68</v>
      </c>
      <c r="I152" s="29" t="s">
        <v>27</v>
      </c>
      <c r="J152" s="20"/>
      <c r="K152" s="6" t="s">
        <v>32</v>
      </c>
      <c r="L152" s="45" t="s">
        <v>453</v>
      </c>
      <c r="M152" s="45" t="s">
        <v>454</v>
      </c>
      <c r="N152" s="6"/>
      <c r="O152" s="6" t="s">
        <v>30</v>
      </c>
      <c r="P152" s="6">
        <v>162</v>
      </c>
      <c r="Q152" s="6">
        <v>51</v>
      </c>
      <c r="R152" s="26">
        <v>72</v>
      </c>
      <c r="S152" s="26"/>
      <c r="T152" s="26"/>
      <c r="U152" s="26"/>
    </row>
    <row r="153" spans="1:22">
      <c r="A153" s="20">
        <v>143</v>
      </c>
      <c r="B153" s="27">
        <v>46032</v>
      </c>
      <c r="C153" s="6" t="s">
        <v>455</v>
      </c>
      <c r="D153" s="6"/>
      <c r="E153" s="20" t="s">
        <v>2374</v>
      </c>
      <c r="F153" s="21">
        <v>1011968</v>
      </c>
      <c r="G153" s="21" t="str">
        <f t="shared" si="6"/>
        <v>1968</v>
      </c>
      <c r="H153" s="22">
        <f t="shared" si="7"/>
        <v>58</v>
      </c>
      <c r="I153" s="29" t="s">
        <v>27</v>
      </c>
      <c r="J153" s="20"/>
      <c r="K153" s="6" t="s">
        <v>32</v>
      </c>
      <c r="L153" s="25"/>
      <c r="M153" s="45" t="s">
        <v>456</v>
      </c>
      <c r="N153" s="6"/>
      <c r="O153" s="6" t="s">
        <v>87</v>
      </c>
      <c r="P153" s="6">
        <v>160</v>
      </c>
      <c r="Q153" s="6">
        <v>60</v>
      </c>
      <c r="R153" s="26">
        <v>78</v>
      </c>
      <c r="S153" s="26"/>
      <c r="T153" s="26"/>
      <c r="U153" s="26"/>
    </row>
    <row r="154" spans="1:22">
      <c r="A154" s="17">
        <v>144</v>
      </c>
      <c r="B154" s="27">
        <v>46032</v>
      </c>
      <c r="C154" s="6" t="s">
        <v>457</v>
      </c>
      <c r="D154" s="6"/>
      <c r="E154" s="20" t="s">
        <v>2374</v>
      </c>
      <c r="F154" s="21">
        <v>10031975</v>
      </c>
      <c r="G154" s="21" t="str">
        <f t="shared" si="6"/>
        <v>1975</v>
      </c>
      <c r="H154" s="22">
        <f t="shared" si="7"/>
        <v>51</v>
      </c>
      <c r="I154" s="29"/>
      <c r="J154" s="20" t="s">
        <v>27</v>
      </c>
      <c r="K154" s="6" t="s">
        <v>32</v>
      </c>
      <c r="L154" s="25"/>
      <c r="M154" s="45" t="s">
        <v>458</v>
      </c>
      <c r="N154" s="6"/>
      <c r="O154" s="6" t="s">
        <v>113</v>
      </c>
      <c r="P154" s="6">
        <v>152</v>
      </c>
      <c r="Q154" s="6">
        <v>57</v>
      </c>
      <c r="R154" s="26">
        <v>72</v>
      </c>
      <c r="S154" s="26"/>
      <c r="T154" s="26"/>
      <c r="U154" s="26"/>
    </row>
    <row r="155" spans="1:22">
      <c r="A155" s="20">
        <v>145</v>
      </c>
      <c r="B155" s="27">
        <v>46032</v>
      </c>
      <c r="C155" s="6" t="s">
        <v>459</v>
      </c>
      <c r="D155" s="6"/>
      <c r="E155" s="20" t="s">
        <v>40</v>
      </c>
      <c r="F155" s="21">
        <v>3031938</v>
      </c>
      <c r="G155" s="21" t="str">
        <f t="shared" si="6"/>
        <v>1938</v>
      </c>
      <c r="H155" s="22">
        <f t="shared" si="7"/>
        <v>88</v>
      </c>
      <c r="I155" s="29"/>
      <c r="J155" s="20" t="s">
        <v>27</v>
      </c>
      <c r="K155" s="6" t="s">
        <v>32</v>
      </c>
      <c r="L155" s="45" t="s">
        <v>424</v>
      </c>
      <c r="M155" s="45" t="s">
        <v>460</v>
      </c>
      <c r="N155" s="6"/>
      <c r="O155" s="6" t="s">
        <v>60</v>
      </c>
      <c r="P155" s="6">
        <v>142</v>
      </c>
      <c r="Q155" s="6">
        <v>35</v>
      </c>
      <c r="R155" s="26">
        <v>75</v>
      </c>
      <c r="S155" s="26"/>
      <c r="T155" s="26"/>
      <c r="U155" s="26"/>
      <c r="V155" s="6" t="s">
        <v>334</v>
      </c>
    </row>
    <row r="156" spans="1:22">
      <c r="A156" s="17">
        <v>146</v>
      </c>
      <c r="B156" s="27">
        <v>46032</v>
      </c>
      <c r="C156" s="6" t="s">
        <v>131</v>
      </c>
      <c r="D156" s="6"/>
      <c r="E156" s="20" t="s">
        <v>40</v>
      </c>
      <c r="F156" s="21">
        <v>6061966</v>
      </c>
      <c r="G156" s="21" t="str">
        <f t="shared" si="6"/>
        <v>1966</v>
      </c>
      <c r="H156" s="22">
        <f t="shared" si="7"/>
        <v>60</v>
      </c>
      <c r="I156" s="29"/>
      <c r="J156" s="20" t="s">
        <v>27</v>
      </c>
      <c r="K156" s="6" t="s">
        <v>115</v>
      </c>
      <c r="L156" s="45" t="s">
        <v>461</v>
      </c>
      <c r="M156" s="45" t="s">
        <v>462</v>
      </c>
      <c r="N156" s="6"/>
      <c r="O156" s="6" t="s">
        <v>463</v>
      </c>
      <c r="P156" s="6">
        <v>152</v>
      </c>
      <c r="Q156" s="6">
        <v>67</v>
      </c>
      <c r="R156" s="26">
        <v>87</v>
      </c>
      <c r="S156" s="26"/>
      <c r="T156" s="26"/>
      <c r="U156" s="26"/>
    </row>
    <row r="157" spans="1:22">
      <c r="A157" s="20">
        <v>147</v>
      </c>
      <c r="B157" s="27">
        <v>46032</v>
      </c>
      <c r="C157" s="6" t="s">
        <v>464</v>
      </c>
      <c r="D157" s="6"/>
      <c r="E157" s="20" t="s">
        <v>40</v>
      </c>
      <c r="F157" s="21">
        <v>20011963</v>
      </c>
      <c r="G157" s="21" t="str">
        <f t="shared" si="6"/>
        <v>1963</v>
      </c>
      <c r="H157" s="22">
        <f t="shared" si="7"/>
        <v>63</v>
      </c>
      <c r="I157" s="29"/>
      <c r="J157" s="20" t="s">
        <v>27</v>
      </c>
      <c r="K157" s="6" t="s">
        <v>115</v>
      </c>
      <c r="L157" s="25"/>
      <c r="M157" s="45" t="s">
        <v>465</v>
      </c>
      <c r="N157" s="6"/>
      <c r="O157" s="6" t="s">
        <v>60</v>
      </c>
      <c r="P157" s="6">
        <v>153</v>
      </c>
      <c r="Q157" s="6">
        <v>53</v>
      </c>
      <c r="R157" s="26">
        <v>75</v>
      </c>
      <c r="S157" s="26"/>
      <c r="T157" s="26"/>
      <c r="U157" s="26"/>
    </row>
    <row r="158" spans="1:22">
      <c r="A158" s="17">
        <v>148</v>
      </c>
      <c r="B158" s="27">
        <v>46032</v>
      </c>
      <c r="C158" s="6" t="s">
        <v>466</v>
      </c>
      <c r="D158" s="6"/>
      <c r="E158" s="20" t="s">
        <v>40</v>
      </c>
      <c r="F158" s="21">
        <v>5051952</v>
      </c>
      <c r="G158" s="21" t="str">
        <f t="shared" si="6"/>
        <v>1952</v>
      </c>
      <c r="H158" s="22">
        <f t="shared" si="7"/>
        <v>74</v>
      </c>
      <c r="I158" s="29" t="s">
        <v>27</v>
      </c>
      <c r="J158" s="20"/>
      <c r="K158" s="6" t="s">
        <v>115</v>
      </c>
      <c r="L158" s="25"/>
      <c r="M158" s="45" t="s">
        <v>467</v>
      </c>
      <c r="N158" s="6"/>
      <c r="O158" s="6" t="s">
        <v>60</v>
      </c>
      <c r="P158" s="6">
        <v>160</v>
      </c>
      <c r="Q158" s="6">
        <v>50</v>
      </c>
      <c r="R158" s="26">
        <v>81</v>
      </c>
      <c r="S158" s="26"/>
      <c r="T158" s="26"/>
      <c r="U158" s="26"/>
    </row>
    <row r="159" spans="1:22">
      <c r="A159" s="20">
        <v>149</v>
      </c>
      <c r="B159" s="27">
        <v>46032</v>
      </c>
      <c r="C159" s="6" t="s">
        <v>468</v>
      </c>
      <c r="D159" s="6"/>
      <c r="E159" s="20" t="s">
        <v>40</v>
      </c>
      <c r="F159" s="21">
        <v>15041932</v>
      </c>
      <c r="G159" s="21" t="str">
        <f t="shared" si="6"/>
        <v>1932</v>
      </c>
      <c r="H159" s="22">
        <f t="shared" si="7"/>
        <v>94</v>
      </c>
      <c r="I159" s="29" t="s">
        <v>27</v>
      </c>
      <c r="J159" s="20"/>
      <c r="K159" s="6" t="s">
        <v>115</v>
      </c>
      <c r="L159" s="25"/>
      <c r="M159" s="45" t="s">
        <v>469</v>
      </c>
      <c r="N159" s="6"/>
      <c r="O159" s="6" t="s">
        <v>470</v>
      </c>
      <c r="P159" s="6">
        <v>150</v>
      </c>
      <c r="Q159" s="6">
        <v>50</v>
      </c>
      <c r="R159" s="26">
        <v>91</v>
      </c>
      <c r="S159" s="26"/>
      <c r="T159" s="26"/>
      <c r="U159" s="26"/>
      <c r="V159" s="6" t="s">
        <v>471</v>
      </c>
    </row>
    <row r="160" spans="1:22">
      <c r="A160" s="17">
        <v>150</v>
      </c>
      <c r="B160" s="27">
        <v>46032</v>
      </c>
      <c r="C160" s="6" t="s">
        <v>472</v>
      </c>
      <c r="D160" s="6"/>
      <c r="E160" s="20" t="s">
        <v>2374</v>
      </c>
      <c r="F160" s="21">
        <v>1011970</v>
      </c>
      <c r="G160" s="21" t="str">
        <f t="shared" si="6"/>
        <v>1970</v>
      </c>
      <c r="H160" s="22">
        <f t="shared" si="7"/>
        <v>56</v>
      </c>
      <c r="I160" s="29" t="s">
        <v>27</v>
      </c>
      <c r="J160" s="20"/>
      <c r="K160" s="6" t="s">
        <v>115</v>
      </c>
      <c r="L160" s="25"/>
      <c r="M160" s="45" t="s">
        <v>473</v>
      </c>
      <c r="N160" s="6"/>
      <c r="O160" s="6" t="s">
        <v>38</v>
      </c>
      <c r="P160" s="6">
        <v>162</v>
      </c>
      <c r="Q160" s="6">
        <v>55</v>
      </c>
      <c r="R160" s="26">
        <v>75</v>
      </c>
      <c r="S160" s="26"/>
      <c r="T160" s="26"/>
      <c r="U160" s="26"/>
    </row>
    <row r="161" spans="1:22">
      <c r="A161" s="20">
        <v>151</v>
      </c>
      <c r="B161" s="27">
        <v>46032</v>
      </c>
      <c r="C161" s="6" t="s">
        <v>474</v>
      </c>
      <c r="D161" s="6"/>
      <c r="E161" s="20" t="s">
        <v>40</v>
      </c>
      <c r="F161" s="21">
        <v>2041956</v>
      </c>
      <c r="G161" s="21" t="str">
        <f t="shared" si="6"/>
        <v>1956</v>
      </c>
      <c r="H161" s="22">
        <f t="shared" si="7"/>
        <v>70</v>
      </c>
      <c r="I161" s="29"/>
      <c r="J161" s="20" t="s">
        <v>27</v>
      </c>
      <c r="K161" s="6" t="s">
        <v>28</v>
      </c>
      <c r="L161" s="25"/>
      <c r="M161" s="45" t="s">
        <v>475</v>
      </c>
      <c r="N161" s="6"/>
      <c r="O161" s="6" t="s">
        <v>87</v>
      </c>
      <c r="P161" s="6">
        <v>147</v>
      </c>
      <c r="Q161" s="6">
        <v>52</v>
      </c>
      <c r="R161" s="26">
        <v>70</v>
      </c>
      <c r="S161" s="26">
        <v>5</v>
      </c>
      <c r="T161" s="26">
        <v>5</v>
      </c>
      <c r="U161" s="26"/>
    </row>
    <row r="162" spans="1:22">
      <c r="A162" s="17">
        <v>152</v>
      </c>
      <c r="B162" s="27">
        <v>46032</v>
      </c>
      <c r="C162" s="6" t="s">
        <v>476</v>
      </c>
      <c r="D162" s="6"/>
      <c r="E162" s="20" t="s">
        <v>40</v>
      </c>
      <c r="F162" s="21">
        <v>20031954</v>
      </c>
      <c r="G162" s="21" t="str">
        <f t="shared" si="6"/>
        <v>1954</v>
      </c>
      <c r="H162" s="22">
        <f t="shared" si="7"/>
        <v>72</v>
      </c>
      <c r="I162" s="29"/>
      <c r="J162" s="20" t="s">
        <v>27</v>
      </c>
      <c r="K162" s="6" t="s">
        <v>28</v>
      </c>
      <c r="L162" s="45" t="s">
        <v>477</v>
      </c>
      <c r="M162" s="45" t="s">
        <v>478</v>
      </c>
      <c r="N162" s="6"/>
      <c r="O162" s="6" t="s">
        <v>87</v>
      </c>
      <c r="P162" s="6">
        <v>160</v>
      </c>
      <c r="Q162" s="6">
        <v>57</v>
      </c>
      <c r="R162" s="26">
        <v>76</v>
      </c>
      <c r="S162" s="26">
        <v>3</v>
      </c>
      <c r="T162" s="26">
        <v>4</v>
      </c>
      <c r="U162" s="26"/>
      <c r="V162" s="6" t="s">
        <v>252</v>
      </c>
    </row>
    <row r="163" spans="1:22">
      <c r="A163" s="20">
        <v>153</v>
      </c>
      <c r="B163" s="27">
        <v>46032</v>
      </c>
      <c r="C163" s="6" t="s">
        <v>479</v>
      </c>
      <c r="D163" s="6"/>
      <c r="E163" s="20" t="s">
        <v>40</v>
      </c>
      <c r="F163" s="21">
        <v>3051954</v>
      </c>
      <c r="G163" s="21" t="str">
        <f t="shared" si="6"/>
        <v>1954</v>
      </c>
      <c r="H163" s="22">
        <f t="shared" si="7"/>
        <v>72</v>
      </c>
      <c r="I163" s="29"/>
      <c r="J163" s="20" t="s">
        <v>27</v>
      </c>
      <c r="K163" s="6" t="s">
        <v>28</v>
      </c>
      <c r="L163" s="45" t="s">
        <v>480</v>
      </c>
      <c r="M163" s="45" t="s">
        <v>481</v>
      </c>
      <c r="N163" s="6"/>
      <c r="O163" s="6" t="s">
        <v>34</v>
      </c>
      <c r="P163" s="6">
        <v>146</v>
      </c>
      <c r="Q163" s="6">
        <v>41</v>
      </c>
      <c r="R163" s="26">
        <v>76</v>
      </c>
      <c r="S163" s="26">
        <v>2</v>
      </c>
      <c r="T163" s="26">
        <v>5</v>
      </c>
      <c r="U163" s="26"/>
    </row>
    <row r="164" spans="1:22">
      <c r="A164" s="17">
        <v>154</v>
      </c>
      <c r="B164" s="27">
        <v>46032</v>
      </c>
      <c r="C164" s="6" t="s">
        <v>482</v>
      </c>
      <c r="D164" s="6"/>
      <c r="E164" s="20" t="s">
        <v>40</v>
      </c>
      <c r="F164" s="21">
        <v>15021951</v>
      </c>
      <c r="G164" s="21" t="str">
        <f t="shared" si="6"/>
        <v>1951</v>
      </c>
      <c r="H164" s="22">
        <f t="shared" si="7"/>
        <v>75</v>
      </c>
      <c r="I164" s="29"/>
      <c r="J164" s="20" t="s">
        <v>27</v>
      </c>
      <c r="K164" s="6" t="s">
        <v>28</v>
      </c>
      <c r="L164" s="45" t="s">
        <v>483</v>
      </c>
      <c r="M164" s="45" t="s">
        <v>484</v>
      </c>
      <c r="N164" s="6"/>
      <c r="O164" s="6" t="s">
        <v>273</v>
      </c>
      <c r="P164" s="6">
        <v>140</v>
      </c>
      <c r="Q164" s="6">
        <v>40</v>
      </c>
      <c r="R164" s="26">
        <v>80</v>
      </c>
      <c r="S164" s="26">
        <v>3</v>
      </c>
      <c r="T164" s="26">
        <v>3</v>
      </c>
      <c r="U164" s="26"/>
      <c r="V164" s="6" t="s">
        <v>252</v>
      </c>
    </row>
    <row r="165" spans="1:22">
      <c r="A165" s="20">
        <v>155</v>
      </c>
      <c r="B165" s="27">
        <v>46032</v>
      </c>
      <c r="C165" s="6" t="s">
        <v>485</v>
      </c>
      <c r="D165" s="6"/>
      <c r="E165" s="20" t="s">
        <v>2374</v>
      </c>
      <c r="F165" s="21">
        <v>5061968</v>
      </c>
      <c r="G165" s="21" t="str">
        <f t="shared" si="6"/>
        <v>1968</v>
      </c>
      <c r="H165" s="22">
        <f t="shared" si="7"/>
        <v>58</v>
      </c>
      <c r="I165" s="29" t="s">
        <v>27</v>
      </c>
      <c r="J165" s="20"/>
      <c r="K165" s="6" t="s">
        <v>28</v>
      </c>
      <c r="L165" s="45" t="s">
        <v>486</v>
      </c>
      <c r="M165" s="45" t="s">
        <v>487</v>
      </c>
      <c r="N165" s="6"/>
      <c r="O165" s="6" t="s">
        <v>288</v>
      </c>
      <c r="P165" s="6">
        <v>156</v>
      </c>
      <c r="Q165" s="6">
        <v>45</v>
      </c>
      <c r="R165" s="26">
        <v>75</v>
      </c>
      <c r="S165" s="26">
        <v>6</v>
      </c>
      <c r="T165" s="26">
        <v>6</v>
      </c>
      <c r="U165" s="26"/>
      <c r="V165" s="6" t="s">
        <v>252</v>
      </c>
    </row>
    <row r="166" spans="1:22">
      <c r="A166" s="17">
        <v>156</v>
      </c>
      <c r="B166" s="27">
        <v>46032</v>
      </c>
      <c r="C166" s="6" t="s">
        <v>488</v>
      </c>
      <c r="D166" s="6"/>
      <c r="E166" s="20" t="s">
        <v>92</v>
      </c>
      <c r="F166" s="21">
        <v>10051963</v>
      </c>
      <c r="G166" s="21" t="str">
        <f t="shared" si="6"/>
        <v>1963</v>
      </c>
      <c r="H166" s="22">
        <f t="shared" si="7"/>
        <v>63</v>
      </c>
      <c r="I166" s="29"/>
      <c r="J166" s="20" t="s">
        <v>27</v>
      </c>
      <c r="K166" s="6" t="s">
        <v>28</v>
      </c>
      <c r="L166" s="25"/>
      <c r="M166" s="45" t="s">
        <v>489</v>
      </c>
      <c r="N166" s="6"/>
      <c r="O166" s="6" t="s">
        <v>87</v>
      </c>
      <c r="P166" s="6">
        <v>147</v>
      </c>
      <c r="Q166" s="6">
        <v>44</v>
      </c>
      <c r="R166" s="26">
        <v>73</v>
      </c>
      <c r="S166" s="26">
        <v>6</v>
      </c>
      <c r="T166" s="26">
        <v>6</v>
      </c>
      <c r="U166" s="26"/>
    </row>
    <row r="167" spans="1:22">
      <c r="A167" s="20">
        <v>157</v>
      </c>
      <c r="B167" s="27">
        <v>46032</v>
      </c>
      <c r="C167" s="6" t="s">
        <v>490</v>
      </c>
      <c r="D167" s="6"/>
      <c r="E167" s="20" t="s">
        <v>40</v>
      </c>
      <c r="F167" s="21">
        <v>30061954</v>
      </c>
      <c r="G167" s="21" t="str">
        <f t="shared" si="6"/>
        <v>1954</v>
      </c>
      <c r="H167" s="22">
        <f t="shared" si="7"/>
        <v>72</v>
      </c>
      <c r="I167" s="29"/>
      <c r="J167" s="20" t="s">
        <v>27</v>
      </c>
      <c r="K167" s="6" t="s">
        <v>115</v>
      </c>
      <c r="L167" s="25"/>
      <c r="M167" s="45" t="s">
        <v>491</v>
      </c>
      <c r="N167" s="6"/>
      <c r="O167" s="6" t="s">
        <v>60</v>
      </c>
      <c r="P167" s="6">
        <v>146</v>
      </c>
      <c r="Q167" s="6">
        <v>43</v>
      </c>
      <c r="R167" s="26">
        <v>73</v>
      </c>
      <c r="S167" s="26">
        <v>1</v>
      </c>
      <c r="T167" s="26" t="s">
        <v>150</v>
      </c>
      <c r="U167" s="26"/>
      <c r="V167" s="6" t="s">
        <v>252</v>
      </c>
    </row>
    <row r="168" spans="1:22">
      <c r="A168" s="17">
        <v>158</v>
      </c>
      <c r="B168" s="27">
        <v>46032</v>
      </c>
      <c r="C168" s="6" t="s">
        <v>492</v>
      </c>
      <c r="D168" s="6"/>
      <c r="E168" s="20" t="s">
        <v>2374</v>
      </c>
      <c r="F168" s="21">
        <v>2031969</v>
      </c>
      <c r="G168" s="21" t="str">
        <f t="shared" si="6"/>
        <v>1969</v>
      </c>
      <c r="H168" s="22">
        <f t="shared" si="7"/>
        <v>57</v>
      </c>
      <c r="I168" s="29"/>
      <c r="J168" s="20" t="s">
        <v>27</v>
      </c>
      <c r="K168" s="6" t="s">
        <v>115</v>
      </c>
      <c r="L168" s="25"/>
      <c r="M168" s="45" t="s">
        <v>493</v>
      </c>
      <c r="N168" s="6"/>
      <c r="O168" s="6" t="s">
        <v>494</v>
      </c>
      <c r="P168" s="6">
        <v>150</v>
      </c>
      <c r="Q168" s="6">
        <v>37</v>
      </c>
      <c r="R168" s="26">
        <v>75</v>
      </c>
      <c r="S168" s="26">
        <v>7</v>
      </c>
      <c r="T168" s="26">
        <v>7</v>
      </c>
      <c r="U168" s="26"/>
    </row>
    <row r="169" spans="1:22">
      <c r="A169" s="20">
        <v>159</v>
      </c>
      <c r="B169" s="27">
        <v>46032</v>
      </c>
      <c r="C169" s="6" t="s">
        <v>495</v>
      </c>
      <c r="D169" s="6"/>
      <c r="E169" s="20" t="s">
        <v>40</v>
      </c>
      <c r="F169" s="21">
        <v>3031957</v>
      </c>
      <c r="G169" s="21" t="str">
        <f t="shared" si="6"/>
        <v>1957</v>
      </c>
      <c r="H169" s="22">
        <f t="shared" si="7"/>
        <v>69</v>
      </c>
      <c r="I169" s="29"/>
      <c r="J169" s="20" t="s">
        <v>27</v>
      </c>
      <c r="K169" s="6" t="s">
        <v>115</v>
      </c>
      <c r="L169" s="25"/>
      <c r="M169" s="45" t="s">
        <v>496</v>
      </c>
      <c r="N169" s="6"/>
      <c r="O169" s="6" t="s">
        <v>113</v>
      </c>
      <c r="P169" s="6">
        <v>145</v>
      </c>
      <c r="Q169" s="6">
        <v>41</v>
      </c>
      <c r="R169" s="26">
        <v>81</v>
      </c>
      <c r="S169" s="26">
        <v>5</v>
      </c>
      <c r="T169" s="26">
        <v>6</v>
      </c>
      <c r="U169" s="26"/>
    </row>
    <row r="170" spans="1:22">
      <c r="A170" s="17">
        <v>160</v>
      </c>
      <c r="B170" s="27">
        <v>46032</v>
      </c>
      <c r="C170" s="6" t="s">
        <v>497</v>
      </c>
      <c r="D170" s="6"/>
      <c r="E170" s="20" t="s">
        <v>40</v>
      </c>
      <c r="F170" s="21">
        <v>16041941</v>
      </c>
      <c r="G170" s="21" t="str">
        <f t="shared" si="6"/>
        <v>1941</v>
      </c>
      <c r="H170" s="22">
        <f t="shared" si="7"/>
        <v>85</v>
      </c>
      <c r="I170" s="29" t="s">
        <v>27</v>
      </c>
      <c r="J170" s="20"/>
      <c r="K170" s="6" t="s">
        <v>115</v>
      </c>
      <c r="L170" s="25"/>
      <c r="M170" s="45" t="s">
        <v>498</v>
      </c>
      <c r="N170" s="6"/>
      <c r="O170" s="6" t="s">
        <v>499</v>
      </c>
      <c r="P170" s="6">
        <v>160</v>
      </c>
      <c r="Q170" s="6">
        <v>48</v>
      </c>
      <c r="R170" s="26">
        <v>73</v>
      </c>
      <c r="S170" s="26">
        <v>5</v>
      </c>
      <c r="T170" s="26">
        <v>2</v>
      </c>
      <c r="U170" s="26"/>
    </row>
    <row r="171" spans="1:22">
      <c r="A171" s="20">
        <v>161</v>
      </c>
      <c r="B171" s="27">
        <v>46032</v>
      </c>
      <c r="C171" s="6" t="s">
        <v>500</v>
      </c>
      <c r="D171" s="6"/>
      <c r="E171" s="20" t="s">
        <v>2374</v>
      </c>
      <c r="F171" s="21">
        <v>19091967</v>
      </c>
      <c r="G171" s="21" t="str">
        <f t="shared" ref="G171:G195" si="8">RIGHT(F171,4)</f>
        <v>1967</v>
      </c>
      <c r="H171" s="22">
        <f t="shared" si="7"/>
        <v>59</v>
      </c>
      <c r="I171" s="29" t="s">
        <v>27</v>
      </c>
      <c r="J171" s="20"/>
      <c r="K171" s="6" t="s">
        <v>115</v>
      </c>
      <c r="L171" s="25"/>
      <c r="M171" s="45" t="s">
        <v>501</v>
      </c>
      <c r="N171" s="6"/>
      <c r="O171" s="6" t="s">
        <v>149</v>
      </c>
      <c r="P171" s="6">
        <v>161</v>
      </c>
      <c r="Q171" s="6">
        <v>65</v>
      </c>
      <c r="R171" s="26">
        <v>66</v>
      </c>
      <c r="S171" s="26">
        <v>7</v>
      </c>
      <c r="T171" s="26">
        <v>6</v>
      </c>
      <c r="U171" s="26"/>
    </row>
    <row r="172" spans="1:22">
      <c r="A172" s="17">
        <v>162</v>
      </c>
      <c r="B172" s="27">
        <v>46032</v>
      </c>
      <c r="C172" s="6" t="s">
        <v>502</v>
      </c>
      <c r="D172" s="6"/>
      <c r="E172" s="20" t="s">
        <v>2374</v>
      </c>
      <c r="F172" s="21">
        <v>2081971</v>
      </c>
      <c r="G172" s="21" t="str">
        <f t="shared" si="8"/>
        <v>1971</v>
      </c>
      <c r="H172" s="22">
        <f t="shared" si="7"/>
        <v>55</v>
      </c>
      <c r="I172" s="29"/>
      <c r="J172" s="20" t="s">
        <v>27</v>
      </c>
      <c r="K172" s="6" t="s">
        <v>115</v>
      </c>
      <c r="L172" s="25"/>
      <c r="M172" s="45" t="s">
        <v>503</v>
      </c>
      <c r="N172" s="6"/>
      <c r="O172" s="6" t="s">
        <v>504</v>
      </c>
      <c r="P172" s="6">
        <v>162</v>
      </c>
      <c r="Q172" s="6">
        <v>51</v>
      </c>
      <c r="R172" s="26">
        <v>72</v>
      </c>
      <c r="S172" s="26">
        <v>7</v>
      </c>
      <c r="T172" s="26">
        <v>7</v>
      </c>
      <c r="U172" s="26"/>
      <c r="V172" s="6" t="s">
        <v>505</v>
      </c>
    </row>
    <row r="173" spans="1:22">
      <c r="A173" s="20">
        <v>163</v>
      </c>
      <c r="B173" s="27">
        <v>46032</v>
      </c>
      <c r="C173" s="6" t="s">
        <v>506</v>
      </c>
      <c r="D173" s="6"/>
      <c r="E173" s="20" t="s">
        <v>2374</v>
      </c>
      <c r="F173" s="21">
        <v>25061994</v>
      </c>
      <c r="G173" s="21" t="str">
        <f t="shared" si="8"/>
        <v>1994</v>
      </c>
      <c r="H173" s="22">
        <f t="shared" si="7"/>
        <v>32</v>
      </c>
      <c r="I173" s="29" t="s">
        <v>27</v>
      </c>
      <c r="J173" s="20"/>
      <c r="K173" s="6" t="s">
        <v>32</v>
      </c>
      <c r="L173" s="25"/>
      <c r="M173" s="45" t="s">
        <v>507</v>
      </c>
      <c r="N173" s="6"/>
      <c r="O173" s="6" t="s">
        <v>508</v>
      </c>
      <c r="P173" s="6">
        <v>166</v>
      </c>
      <c r="Q173" s="6">
        <v>55</v>
      </c>
      <c r="R173" s="26">
        <v>79</v>
      </c>
      <c r="S173" s="26">
        <v>10</v>
      </c>
      <c r="T173" s="26">
        <v>10</v>
      </c>
      <c r="U173" s="26"/>
    </row>
    <row r="174" spans="1:22">
      <c r="A174" s="17">
        <v>164</v>
      </c>
      <c r="B174" s="27">
        <v>46032</v>
      </c>
      <c r="C174" s="6" t="s">
        <v>509</v>
      </c>
      <c r="D174" s="6"/>
      <c r="E174" s="20" t="s">
        <v>40</v>
      </c>
      <c r="F174" s="21">
        <v>1101945</v>
      </c>
      <c r="G174" s="21" t="str">
        <f t="shared" si="8"/>
        <v>1945</v>
      </c>
      <c r="H174" s="22">
        <f t="shared" si="7"/>
        <v>81</v>
      </c>
      <c r="I174" s="29" t="s">
        <v>27</v>
      </c>
      <c r="J174" s="20"/>
      <c r="K174" s="6" t="s">
        <v>115</v>
      </c>
      <c r="L174" s="25"/>
      <c r="M174" s="45" t="s">
        <v>510</v>
      </c>
      <c r="N174" s="6"/>
      <c r="O174" s="6" t="s">
        <v>511</v>
      </c>
      <c r="P174" s="6">
        <v>155</v>
      </c>
      <c r="Q174" s="6">
        <v>45</v>
      </c>
      <c r="R174" s="26">
        <v>87</v>
      </c>
      <c r="S174" s="26">
        <v>1</v>
      </c>
      <c r="T174" s="26" t="s">
        <v>130</v>
      </c>
      <c r="U174" s="26"/>
    </row>
    <row r="175" spans="1:22">
      <c r="A175" s="20">
        <v>165</v>
      </c>
      <c r="B175" s="27">
        <v>46032</v>
      </c>
      <c r="C175" s="6" t="s">
        <v>512</v>
      </c>
      <c r="D175" s="6"/>
      <c r="E175" s="20" t="s">
        <v>2374</v>
      </c>
      <c r="F175" s="21">
        <v>16101967</v>
      </c>
      <c r="G175" s="21" t="str">
        <f t="shared" si="8"/>
        <v>1967</v>
      </c>
      <c r="H175" s="22">
        <f t="shared" si="7"/>
        <v>59</v>
      </c>
      <c r="I175" s="29"/>
      <c r="J175" s="20" t="s">
        <v>27</v>
      </c>
      <c r="K175" s="6" t="s">
        <v>115</v>
      </c>
      <c r="L175" s="25"/>
      <c r="M175" s="45" t="s">
        <v>513</v>
      </c>
      <c r="N175" s="6"/>
      <c r="O175" s="6" t="s">
        <v>514</v>
      </c>
      <c r="P175" s="6">
        <v>165</v>
      </c>
      <c r="Q175" s="6">
        <v>56</v>
      </c>
      <c r="R175" s="26">
        <v>4</v>
      </c>
      <c r="S175" s="26">
        <v>7</v>
      </c>
      <c r="T175" s="26"/>
      <c r="U175" s="26"/>
    </row>
    <row r="176" spans="1:22">
      <c r="A176" s="17">
        <v>166</v>
      </c>
      <c r="B176" s="27">
        <v>46032</v>
      </c>
      <c r="C176" s="6" t="s">
        <v>515</v>
      </c>
      <c r="D176" s="6"/>
      <c r="E176" s="20" t="s">
        <v>2374</v>
      </c>
      <c r="F176" s="21">
        <v>6041972</v>
      </c>
      <c r="G176" s="21" t="str">
        <f t="shared" si="8"/>
        <v>1972</v>
      </c>
      <c r="H176" s="22">
        <f t="shared" si="7"/>
        <v>54</v>
      </c>
      <c r="I176" s="29"/>
      <c r="J176" s="20" t="s">
        <v>27</v>
      </c>
      <c r="K176" s="6" t="s">
        <v>28</v>
      </c>
      <c r="L176" s="25"/>
      <c r="M176" s="45" t="s">
        <v>516</v>
      </c>
      <c r="N176" s="6"/>
      <c r="O176" s="6" t="s">
        <v>517</v>
      </c>
      <c r="P176" s="6">
        <v>150</v>
      </c>
      <c r="Q176" s="6">
        <v>61</v>
      </c>
      <c r="R176" s="26">
        <v>83</v>
      </c>
      <c r="S176" s="26">
        <v>6</v>
      </c>
      <c r="T176" s="26">
        <v>6</v>
      </c>
      <c r="U176" s="26"/>
    </row>
    <row r="177" spans="1:22">
      <c r="A177" s="20">
        <v>167</v>
      </c>
      <c r="B177" s="27">
        <v>46032</v>
      </c>
      <c r="C177" s="6" t="s">
        <v>518</v>
      </c>
      <c r="D177" s="6"/>
      <c r="E177" s="20" t="s">
        <v>40</v>
      </c>
      <c r="F177" s="21">
        <v>2031940</v>
      </c>
      <c r="G177" s="21" t="str">
        <f t="shared" si="8"/>
        <v>1940</v>
      </c>
      <c r="H177" s="22">
        <f t="shared" si="7"/>
        <v>86</v>
      </c>
      <c r="I177" s="29"/>
      <c r="J177" s="20" t="s">
        <v>27</v>
      </c>
      <c r="K177" s="6" t="s">
        <v>32</v>
      </c>
      <c r="L177" s="25"/>
      <c r="M177" s="45" t="s">
        <v>519</v>
      </c>
      <c r="N177" s="6"/>
      <c r="O177" s="6" t="s">
        <v>520</v>
      </c>
      <c r="P177" s="6">
        <v>153</v>
      </c>
      <c r="Q177" s="6">
        <v>45</v>
      </c>
      <c r="R177" s="26">
        <v>83</v>
      </c>
      <c r="S177" s="26">
        <v>1</v>
      </c>
      <c r="T177" s="26">
        <v>1</v>
      </c>
      <c r="U177" s="26"/>
    </row>
    <row r="178" spans="1:22">
      <c r="A178" s="17">
        <v>168</v>
      </c>
      <c r="B178" s="27">
        <v>46032</v>
      </c>
      <c r="C178" s="6" t="s">
        <v>521</v>
      </c>
      <c r="D178" s="6"/>
      <c r="E178" s="20" t="s">
        <v>2374</v>
      </c>
      <c r="F178" s="21">
        <v>1121984</v>
      </c>
      <c r="G178" s="21" t="str">
        <f t="shared" si="8"/>
        <v>1984</v>
      </c>
      <c r="H178" s="22">
        <f t="shared" si="7"/>
        <v>42</v>
      </c>
      <c r="I178" s="29"/>
      <c r="J178" s="20" t="s">
        <v>212</v>
      </c>
      <c r="K178" s="6" t="s">
        <v>115</v>
      </c>
      <c r="L178" s="25"/>
      <c r="M178" s="45" t="s">
        <v>522</v>
      </c>
      <c r="N178" s="6"/>
      <c r="O178" s="6" t="s">
        <v>523</v>
      </c>
      <c r="P178" s="6">
        <v>150</v>
      </c>
      <c r="Q178" s="6">
        <v>48</v>
      </c>
      <c r="R178" s="26">
        <v>100</v>
      </c>
      <c r="S178" s="26">
        <v>9</v>
      </c>
      <c r="T178" s="26">
        <v>10</v>
      </c>
      <c r="U178" s="26"/>
    </row>
    <row r="179" spans="1:22">
      <c r="A179" s="20">
        <v>169</v>
      </c>
      <c r="B179" s="27">
        <v>46032</v>
      </c>
      <c r="C179" s="6" t="s">
        <v>524</v>
      </c>
      <c r="D179" s="6"/>
      <c r="E179" s="20" t="s">
        <v>40</v>
      </c>
      <c r="F179" s="21">
        <v>1051960</v>
      </c>
      <c r="G179" s="21" t="str">
        <f t="shared" si="8"/>
        <v>1960</v>
      </c>
      <c r="H179" s="22">
        <f t="shared" si="7"/>
        <v>66</v>
      </c>
      <c r="I179" s="29"/>
      <c r="J179" s="20" t="s">
        <v>27</v>
      </c>
      <c r="K179" s="6" t="s">
        <v>115</v>
      </c>
      <c r="L179" s="25"/>
      <c r="M179" s="45" t="s">
        <v>525</v>
      </c>
      <c r="N179" s="6"/>
      <c r="O179" s="6" t="s">
        <v>526</v>
      </c>
      <c r="P179" s="6">
        <v>156</v>
      </c>
      <c r="Q179" s="6">
        <v>57</v>
      </c>
      <c r="R179" s="26">
        <v>112</v>
      </c>
      <c r="S179" s="26">
        <v>6</v>
      </c>
      <c r="T179" s="26">
        <v>5</v>
      </c>
      <c r="U179" s="26"/>
      <c r="V179" s="6" t="s">
        <v>252</v>
      </c>
    </row>
    <row r="180" spans="1:22">
      <c r="A180" s="17">
        <v>170</v>
      </c>
      <c r="B180" s="27">
        <v>46032</v>
      </c>
      <c r="C180" s="6" t="s">
        <v>215</v>
      </c>
      <c r="D180" s="6"/>
      <c r="E180" s="20" t="s">
        <v>2374</v>
      </c>
      <c r="F180" s="21">
        <v>12101967</v>
      </c>
      <c r="G180" s="21" t="str">
        <f t="shared" si="8"/>
        <v>1967</v>
      </c>
      <c r="H180" s="22">
        <f t="shared" si="7"/>
        <v>59</v>
      </c>
      <c r="I180" s="29"/>
      <c r="J180" s="20" t="s">
        <v>27</v>
      </c>
      <c r="K180" s="6" t="s">
        <v>115</v>
      </c>
      <c r="L180" s="25"/>
      <c r="M180" s="45" t="s">
        <v>527</v>
      </c>
      <c r="N180" s="6"/>
      <c r="O180" s="6" t="s">
        <v>528</v>
      </c>
      <c r="P180" s="6">
        <v>154</v>
      </c>
      <c r="Q180" s="6">
        <v>55</v>
      </c>
      <c r="R180" s="26">
        <v>70</v>
      </c>
      <c r="S180" s="26"/>
      <c r="T180" s="26"/>
      <c r="U180" s="26"/>
      <c r="V180" s="6" t="s">
        <v>252</v>
      </c>
    </row>
    <row r="181" spans="1:22">
      <c r="A181" s="20">
        <v>171</v>
      </c>
      <c r="B181" s="27">
        <v>46032</v>
      </c>
      <c r="C181" s="6" t="s">
        <v>529</v>
      </c>
      <c r="D181" s="6"/>
      <c r="E181" s="20" t="s">
        <v>2374</v>
      </c>
      <c r="F181" s="21">
        <v>4021972</v>
      </c>
      <c r="G181" s="21" t="str">
        <f t="shared" si="8"/>
        <v>1972</v>
      </c>
      <c r="H181" s="22">
        <f t="shared" si="7"/>
        <v>54</v>
      </c>
      <c r="I181" s="29"/>
      <c r="J181" s="20" t="s">
        <v>27</v>
      </c>
      <c r="K181" s="6" t="s">
        <v>115</v>
      </c>
      <c r="L181" s="25"/>
      <c r="M181" s="45" t="s">
        <v>530</v>
      </c>
      <c r="N181" s="6"/>
      <c r="O181" s="6" t="s">
        <v>531</v>
      </c>
      <c r="P181" s="6">
        <v>157</v>
      </c>
      <c r="Q181" s="6">
        <v>55</v>
      </c>
      <c r="R181" s="26">
        <v>88</v>
      </c>
      <c r="S181" s="26">
        <v>6</v>
      </c>
      <c r="T181" s="26">
        <v>5</v>
      </c>
      <c r="U181" s="26"/>
      <c r="V181" s="6" t="s">
        <v>532</v>
      </c>
    </row>
    <row r="182" spans="1:22">
      <c r="A182" s="17">
        <v>172</v>
      </c>
      <c r="B182" s="27">
        <v>46032</v>
      </c>
      <c r="C182" s="6" t="s">
        <v>533</v>
      </c>
      <c r="D182" s="6"/>
      <c r="E182" s="20" t="s">
        <v>2374</v>
      </c>
      <c r="F182" s="21">
        <v>7051990</v>
      </c>
      <c r="G182" s="21" t="str">
        <f t="shared" si="8"/>
        <v>1990</v>
      </c>
      <c r="H182" s="22">
        <f t="shared" si="7"/>
        <v>36</v>
      </c>
      <c r="I182" s="29"/>
      <c r="J182" s="20" t="s">
        <v>27</v>
      </c>
      <c r="K182" s="6" t="s">
        <v>534</v>
      </c>
      <c r="L182" s="25"/>
      <c r="M182" s="45" t="s">
        <v>535</v>
      </c>
      <c r="N182" s="6"/>
      <c r="O182" s="6" t="s">
        <v>536</v>
      </c>
      <c r="P182" s="6">
        <v>152</v>
      </c>
      <c r="Q182" s="6">
        <v>56</v>
      </c>
      <c r="R182" s="26">
        <v>80</v>
      </c>
      <c r="S182" s="26">
        <v>10</v>
      </c>
      <c r="T182" s="26">
        <v>10</v>
      </c>
      <c r="U182" s="26"/>
    </row>
    <row r="183" spans="1:22">
      <c r="A183" s="20">
        <v>173</v>
      </c>
      <c r="B183" s="27">
        <v>46032</v>
      </c>
      <c r="C183" s="6" t="s">
        <v>537</v>
      </c>
      <c r="D183" s="6"/>
      <c r="E183" s="20" t="s">
        <v>2374</v>
      </c>
      <c r="F183" s="21">
        <v>9041988</v>
      </c>
      <c r="G183" s="21" t="str">
        <f t="shared" si="8"/>
        <v>1988</v>
      </c>
      <c r="H183" s="22">
        <f t="shared" si="7"/>
        <v>38</v>
      </c>
      <c r="I183" s="29"/>
      <c r="J183" s="20" t="s">
        <v>27</v>
      </c>
      <c r="K183" s="6" t="s">
        <v>534</v>
      </c>
      <c r="L183" s="25"/>
      <c r="M183" s="45" t="s">
        <v>538</v>
      </c>
      <c r="N183" s="6"/>
      <c r="O183" s="6" t="s">
        <v>504</v>
      </c>
      <c r="P183" s="6">
        <v>159</v>
      </c>
      <c r="Q183" s="6">
        <v>51</v>
      </c>
      <c r="R183" s="26">
        <v>70</v>
      </c>
      <c r="S183" s="26">
        <v>10</v>
      </c>
      <c r="T183" s="26">
        <v>10</v>
      </c>
      <c r="U183" s="26"/>
    </row>
    <row r="184" spans="1:22">
      <c r="A184" s="17">
        <v>174</v>
      </c>
      <c r="B184" s="27">
        <v>46032</v>
      </c>
      <c r="C184" s="6" t="s">
        <v>539</v>
      </c>
      <c r="D184" s="6"/>
      <c r="E184" s="20" t="s">
        <v>40</v>
      </c>
      <c r="F184" s="21">
        <v>7031965</v>
      </c>
      <c r="G184" s="21" t="str">
        <f t="shared" si="8"/>
        <v>1965</v>
      </c>
      <c r="H184" s="22">
        <f t="shared" si="7"/>
        <v>61</v>
      </c>
      <c r="I184" s="29"/>
      <c r="J184" s="20" t="s">
        <v>27</v>
      </c>
      <c r="K184" s="6" t="s">
        <v>115</v>
      </c>
      <c r="L184" s="25"/>
      <c r="M184" s="25" t="s">
        <v>540</v>
      </c>
      <c r="N184" s="6"/>
      <c r="O184" s="6" t="s">
        <v>34</v>
      </c>
      <c r="P184" s="6">
        <v>155</v>
      </c>
      <c r="Q184" s="6">
        <v>57</v>
      </c>
      <c r="R184" s="26">
        <v>70</v>
      </c>
      <c r="S184" s="26">
        <v>7</v>
      </c>
      <c r="T184" s="26">
        <v>7</v>
      </c>
      <c r="U184" s="26"/>
      <c r="V184" s="6" t="s">
        <v>252</v>
      </c>
    </row>
    <row r="185" spans="1:22">
      <c r="A185" s="20">
        <v>175</v>
      </c>
      <c r="B185" s="27">
        <v>46032</v>
      </c>
      <c r="C185" s="6" t="s">
        <v>541</v>
      </c>
      <c r="D185" s="6"/>
      <c r="E185" s="20" t="s">
        <v>542</v>
      </c>
      <c r="F185" s="21">
        <v>1041957</v>
      </c>
      <c r="G185" s="21" t="str">
        <f t="shared" si="8"/>
        <v>1957</v>
      </c>
      <c r="H185" s="22">
        <f t="shared" si="7"/>
        <v>69</v>
      </c>
      <c r="I185" s="29" t="s">
        <v>27</v>
      </c>
      <c r="J185" s="20"/>
      <c r="K185" s="6" t="s">
        <v>115</v>
      </c>
      <c r="L185" s="25"/>
      <c r="M185" s="45" t="s">
        <v>543</v>
      </c>
      <c r="N185" s="6"/>
      <c r="O185" s="6" t="s">
        <v>34</v>
      </c>
      <c r="P185" s="6">
        <v>167</v>
      </c>
      <c r="Q185" s="6">
        <v>59</v>
      </c>
      <c r="R185" s="26"/>
      <c r="S185" s="26">
        <v>7</v>
      </c>
      <c r="T185" s="26">
        <v>6</v>
      </c>
      <c r="U185" s="26"/>
      <c r="V185" s="6" t="s">
        <v>252</v>
      </c>
    </row>
    <row r="186" spans="1:22">
      <c r="A186" s="17">
        <v>176</v>
      </c>
      <c r="B186" s="27">
        <v>46032</v>
      </c>
      <c r="C186" s="6" t="s">
        <v>544</v>
      </c>
      <c r="D186" s="6"/>
      <c r="E186" s="20" t="s">
        <v>40</v>
      </c>
      <c r="F186" s="32">
        <v>8021959</v>
      </c>
      <c r="G186" s="21" t="str">
        <f t="shared" si="8"/>
        <v>1959</v>
      </c>
      <c r="H186" s="22">
        <f t="shared" si="7"/>
        <v>67</v>
      </c>
      <c r="I186" s="29"/>
      <c r="J186" s="20" t="s">
        <v>27</v>
      </c>
      <c r="K186" s="6" t="s">
        <v>115</v>
      </c>
      <c r="L186" s="25"/>
      <c r="M186" s="45" t="s">
        <v>545</v>
      </c>
      <c r="N186" s="6"/>
      <c r="O186" s="6" t="s">
        <v>113</v>
      </c>
      <c r="P186" s="6">
        <v>145</v>
      </c>
      <c r="Q186" s="6">
        <v>40</v>
      </c>
      <c r="R186" s="26">
        <v>74</v>
      </c>
      <c r="S186" s="26">
        <v>5</v>
      </c>
      <c r="T186" s="26">
        <v>5</v>
      </c>
      <c r="U186" s="26"/>
    </row>
    <row r="187" spans="1:22">
      <c r="A187" s="20">
        <v>177</v>
      </c>
      <c r="B187" s="27">
        <v>46032</v>
      </c>
      <c r="C187" s="6" t="s">
        <v>546</v>
      </c>
      <c r="D187" s="6"/>
      <c r="E187" s="20" t="s">
        <v>2374</v>
      </c>
      <c r="F187" s="32">
        <v>19111972</v>
      </c>
      <c r="G187" s="21" t="str">
        <f t="shared" si="8"/>
        <v>1972</v>
      </c>
      <c r="H187" s="22">
        <f t="shared" si="7"/>
        <v>54</v>
      </c>
      <c r="I187" s="29"/>
      <c r="J187" s="20" t="s">
        <v>27</v>
      </c>
      <c r="K187" s="6" t="s">
        <v>115</v>
      </c>
      <c r="L187" s="25"/>
      <c r="M187" s="45" t="s">
        <v>547</v>
      </c>
      <c r="N187" s="6"/>
      <c r="O187" s="6" t="s">
        <v>548</v>
      </c>
      <c r="P187" s="6">
        <v>156</v>
      </c>
      <c r="Q187" s="6">
        <v>60</v>
      </c>
      <c r="R187" s="26">
        <v>75</v>
      </c>
      <c r="S187" s="26">
        <v>7</v>
      </c>
      <c r="T187" s="26">
        <v>8</v>
      </c>
      <c r="U187" s="26"/>
    </row>
    <row r="188" spans="1:22">
      <c r="A188" s="17">
        <v>178</v>
      </c>
      <c r="B188" s="27">
        <v>46032</v>
      </c>
      <c r="C188" s="6" t="s">
        <v>549</v>
      </c>
      <c r="D188" s="6"/>
      <c r="E188" s="20" t="s">
        <v>2374</v>
      </c>
      <c r="F188" s="32">
        <v>25081989</v>
      </c>
      <c r="G188" s="21" t="str">
        <f t="shared" si="8"/>
        <v>1989</v>
      </c>
      <c r="H188" s="22">
        <f t="shared" si="7"/>
        <v>37</v>
      </c>
      <c r="I188" s="29"/>
      <c r="J188" s="20" t="s">
        <v>27</v>
      </c>
      <c r="K188" s="6" t="s">
        <v>115</v>
      </c>
      <c r="L188" s="25"/>
      <c r="M188" s="45" t="s">
        <v>550</v>
      </c>
      <c r="N188" s="6"/>
      <c r="O188" s="6" t="s">
        <v>146</v>
      </c>
      <c r="P188" s="6">
        <v>159</v>
      </c>
      <c r="Q188" s="6">
        <v>57</v>
      </c>
      <c r="R188" s="26">
        <v>75</v>
      </c>
      <c r="S188" s="26">
        <v>10</v>
      </c>
      <c r="T188" s="26">
        <v>10</v>
      </c>
      <c r="U188" s="26"/>
    </row>
    <row r="189" spans="1:22">
      <c r="A189" s="20">
        <v>179</v>
      </c>
      <c r="B189" s="27">
        <v>46032</v>
      </c>
      <c r="C189" s="6" t="s">
        <v>95</v>
      </c>
      <c r="D189" s="6"/>
      <c r="E189" s="20" t="s">
        <v>40</v>
      </c>
      <c r="F189" s="32">
        <v>1021946</v>
      </c>
      <c r="G189" s="21" t="str">
        <f t="shared" si="8"/>
        <v>1946</v>
      </c>
      <c r="H189" s="22">
        <f t="shared" si="7"/>
        <v>80</v>
      </c>
      <c r="I189" s="29"/>
      <c r="J189" s="20" t="s">
        <v>27</v>
      </c>
      <c r="K189" s="6" t="s">
        <v>115</v>
      </c>
      <c r="L189" s="25"/>
      <c r="M189" s="45" t="s">
        <v>551</v>
      </c>
      <c r="N189" s="6"/>
      <c r="O189" s="6" t="s">
        <v>209</v>
      </c>
      <c r="P189" s="6">
        <v>100</v>
      </c>
      <c r="Q189" s="6">
        <v>27</v>
      </c>
      <c r="R189" s="26">
        <v>70</v>
      </c>
      <c r="S189" s="26">
        <v>3</v>
      </c>
      <c r="T189" s="26">
        <v>3</v>
      </c>
      <c r="U189" s="26"/>
    </row>
    <row r="190" spans="1:22">
      <c r="A190" s="17">
        <v>180</v>
      </c>
      <c r="B190" s="27">
        <v>46032</v>
      </c>
      <c r="C190" s="6" t="s">
        <v>552</v>
      </c>
      <c r="D190" s="6"/>
      <c r="E190" s="20" t="s">
        <v>40</v>
      </c>
      <c r="F190" s="32">
        <v>5021932</v>
      </c>
      <c r="G190" s="21" t="str">
        <f t="shared" si="8"/>
        <v>1932</v>
      </c>
      <c r="H190" s="22">
        <f t="shared" si="7"/>
        <v>94</v>
      </c>
      <c r="I190" s="29" t="s">
        <v>27</v>
      </c>
      <c r="J190" s="20"/>
      <c r="K190" s="6" t="s">
        <v>115</v>
      </c>
      <c r="L190" s="25"/>
      <c r="M190" s="45" t="s">
        <v>553</v>
      </c>
      <c r="N190" s="6"/>
      <c r="O190" s="6" t="s">
        <v>554</v>
      </c>
      <c r="P190" s="6">
        <v>160</v>
      </c>
      <c r="Q190" s="6">
        <v>45</v>
      </c>
      <c r="R190" s="26">
        <v>68</v>
      </c>
      <c r="S190" s="26" t="s">
        <v>150</v>
      </c>
      <c r="T190" s="26" t="s">
        <v>156</v>
      </c>
      <c r="U190" s="26"/>
    </row>
    <row r="191" spans="1:22">
      <c r="A191" s="20">
        <v>181</v>
      </c>
      <c r="B191" s="27">
        <v>46032</v>
      </c>
      <c r="C191" s="6" t="s">
        <v>555</v>
      </c>
      <c r="D191" s="6"/>
      <c r="E191" s="20" t="s">
        <v>40</v>
      </c>
      <c r="F191" s="32">
        <v>20051948</v>
      </c>
      <c r="G191" s="21" t="str">
        <f t="shared" si="8"/>
        <v>1948</v>
      </c>
      <c r="H191" s="22">
        <f t="shared" si="7"/>
        <v>78</v>
      </c>
      <c r="I191" s="29" t="s">
        <v>27</v>
      </c>
      <c r="J191" s="20"/>
      <c r="K191" s="6"/>
      <c r="L191" s="25"/>
      <c r="M191" s="45" t="s">
        <v>556</v>
      </c>
      <c r="N191" s="6"/>
      <c r="O191" s="6" t="s">
        <v>557</v>
      </c>
      <c r="P191" s="6"/>
      <c r="Q191" s="6"/>
      <c r="R191" s="26">
        <v>77</v>
      </c>
      <c r="S191" s="26">
        <v>5</v>
      </c>
      <c r="T191" s="26">
        <v>2</v>
      </c>
      <c r="U191" s="26"/>
      <c r="V191" s="6" t="s">
        <v>252</v>
      </c>
    </row>
    <row r="192" spans="1:22">
      <c r="A192" s="17">
        <v>182</v>
      </c>
      <c r="B192" s="27">
        <v>46032</v>
      </c>
      <c r="C192" s="6" t="s">
        <v>558</v>
      </c>
      <c r="D192" s="6"/>
      <c r="E192" s="20" t="s">
        <v>40</v>
      </c>
      <c r="F192" s="32">
        <v>10051948</v>
      </c>
      <c r="G192" s="21" t="str">
        <f t="shared" si="8"/>
        <v>1948</v>
      </c>
      <c r="H192" s="22">
        <f t="shared" si="7"/>
        <v>78</v>
      </c>
      <c r="I192" s="29"/>
      <c r="J192" s="20" t="s">
        <v>27</v>
      </c>
      <c r="K192" s="6" t="s">
        <v>115</v>
      </c>
      <c r="L192" s="25"/>
      <c r="M192" s="25"/>
      <c r="N192" s="6"/>
      <c r="O192" s="6" t="s">
        <v>559</v>
      </c>
      <c r="P192" s="6">
        <v>150</v>
      </c>
      <c r="Q192" s="6">
        <v>40</v>
      </c>
      <c r="R192" s="26">
        <v>102</v>
      </c>
      <c r="S192" s="26">
        <v>7</v>
      </c>
      <c r="T192" s="26">
        <v>8</v>
      </c>
      <c r="U192" s="26"/>
      <c r="V192" s="6" t="s">
        <v>252</v>
      </c>
    </row>
    <row r="193" spans="1:22">
      <c r="A193" s="20">
        <v>183</v>
      </c>
      <c r="B193" s="27">
        <v>46032</v>
      </c>
      <c r="C193" s="6" t="s">
        <v>560</v>
      </c>
      <c r="D193" s="6"/>
      <c r="E193" s="20" t="s">
        <v>40</v>
      </c>
      <c r="F193" s="32">
        <v>1011933</v>
      </c>
      <c r="G193" s="21" t="str">
        <f t="shared" si="8"/>
        <v>1933</v>
      </c>
      <c r="H193" s="22">
        <f t="shared" si="7"/>
        <v>93</v>
      </c>
      <c r="I193" s="29" t="s">
        <v>27</v>
      </c>
      <c r="J193" s="20"/>
      <c r="K193" s="6" t="s">
        <v>115</v>
      </c>
      <c r="L193" s="25"/>
      <c r="M193" s="45" t="s">
        <v>561</v>
      </c>
      <c r="N193" s="6"/>
      <c r="O193" s="6" t="s">
        <v>87</v>
      </c>
      <c r="P193" s="6">
        <v>165</v>
      </c>
      <c r="Q193" s="6">
        <v>41</v>
      </c>
      <c r="R193" s="26">
        <v>83</v>
      </c>
      <c r="S193" s="26">
        <v>3</v>
      </c>
      <c r="T193" s="26">
        <v>2</v>
      </c>
      <c r="U193" s="26"/>
    </row>
    <row r="194" spans="1:22">
      <c r="A194" s="17">
        <v>184</v>
      </c>
      <c r="B194" s="27">
        <v>46032</v>
      </c>
      <c r="C194" s="6" t="s">
        <v>562</v>
      </c>
      <c r="D194" s="6"/>
      <c r="E194" s="20" t="s">
        <v>40</v>
      </c>
      <c r="F194" s="32">
        <v>23121955</v>
      </c>
      <c r="G194" s="21" t="str">
        <f t="shared" si="8"/>
        <v>1955</v>
      </c>
      <c r="H194" s="22">
        <f t="shared" si="7"/>
        <v>71</v>
      </c>
      <c r="I194" s="29"/>
      <c r="J194" s="20" t="s">
        <v>27</v>
      </c>
      <c r="K194" s="6" t="s">
        <v>115</v>
      </c>
      <c r="L194" s="25"/>
      <c r="M194" s="45" t="s">
        <v>563</v>
      </c>
      <c r="N194" s="6"/>
      <c r="O194" s="6" t="s">
        <v>143</v>
      </c>
      <c r="P194" s="6">
        <v>150</v>
      </c>
      <c r="Q194" s="6">
        <v>40</v>
      </c>
      <c r="R194" s="26">
        <v>82</v>
      </c>
      <c r="S194" s="26">
        <v>4</v>
      </c>
      <c r="T194" s="26">
        <v>5</v>
      </c>
      <c r="U194" s="26"/>
    </row>
    <row r="195" spans="1:22">
      <c r="A195" s="20">
        <v>185</v>
      </c>
      <c r="B195" s="27">
        <v>46032</v>
      </c>
      <c r="C195" s="6" t="s">
        <v>564</v>
      </c>
      <c r="D195" s="6"/>
      <c r="E195" s="20" t="s">
        <v>40</v>
      </c>
      <c r="F195" s="32">
        <v>7101926</v>
      </c>
      <c r="G195" s="21" t="str">
        <f t="shared" si="8"/>
        <v>1926</v>
      </c>
      <c r="H195" s="22">
        <f t="shared" si="7"/>
        <v>100</v>
      </c>
      <c r="I195" s="29"/>
      <c r="J195" s="20" t="s">
        <v>27</v>
      </c>
      <c r="K195" s="6" t="s">
        <v>115</v>
      </c>
      <c r="L195" s="25"/>
      <c r="M195" s="45" t="s">
        <v>565</v>
      </c>
      <c r="N195" s="6"/>
      <c r="O195" s="6" t="s">
        <v>146</v>
      </c>
      <c r="P195" s="6">
        <v>145</v>
      </c>
      <c r="Q195" s="6">
        <v>42</v>
      </c>
      <c r="R195" s="26">
        <v>72</v>
      </c>
      <c r="S195" s="26">
        <v>2</v>
      </c>
      <c r="T195" s="26">
        <v>3</v>
      </c>
      <c r="U195" s="26"/>
      <c r="V195" s="6" t="s">
        <v>566</v>
      </c>
    </row>
    <row r="196" spans="1:22">
      <c r="A196" s="17">
        <v>186</v>
      </c>
      <c r="B196" s="27">
        <v>46063</v>
      </c>
      <c r="C196" s="6" t="s">
        <v>567</v>
      </c>
      <c r="D196" s="6"/>
      <c r="E196" s="6" t="s">
        <v>2374</v>
      </c>
      <c r="F196" s="33">
        <v>25424</v>
      </c>
      <c r="G196" s="21">
        <f>YEAR(F196)</f>
        <v>1969</v>
      </c>
      <c r="H196" s="22">
        <f t="shared" si="7"/>
        <v>57</v>
      </c>
      <c r="I196" s="23" t="s">
        <v>27</v>
      </c>
      <c r="J196" s="20"/>
      <c r="K196" s="6" t="s">
        <v>568</v>
      </c>
      <c r="L196" s="25"/>
      <c r="M196" s="25" t="s">
        <v>569</v>
      </c>
      <c r="N196" s="6"/>
      <c r="O196" s="6" t="s">
        <v>570</v>
      </c>
      <c r="P196" s="6">
        <v>165</v>
      </c>
      <c r="Q196" s="6">
        <v>54</v>
      </c>
      <c r="R196" s="26">
        <v>80</v>
      </c>
      <c r="S196" s="26"/>
      <c r="T196" s="26"/>
      <c r="U196" s="26"/>
      <c r="V196" s="6" t="s">
        <v>571</v>
      </c>
    </row>
    <row r="197" spans="1:22">
      <c r="A197" s="20">
        <v>187</v>
      </c>
      <c r="B197" s="27">
        <v>46063</v>
      </c>
      <c r="C197" s="6" t="s">
        <v>572</v>
      </c>
      <c r="D197" s="6"/>
      <c r="E197" s="6" t="s">
        <v>40</v>
      </c>
      <c r="F197" s="33">
        <v>20090</v>
      </c>
      <c r="G197" s="21">
        <f>YEAR(F197)</f>
        <v>1955</v>
      </c>
      <c r="H197" s="22">
        <f t="shared" si="7"/>
        <v>71</v>
      </c>
      <c r="I197" s="23"/>
      <c r="J197" s="20" t="s">
        <v>27</v>
      </c>
      <c r="K197" s="6" t="s">
        <v>568</v>
      </c>
      <c r="L197" s="25"/>
      <c r="M197" s="25" t="s">
        <v>573</v>
      </c>
      <c r="N197" s="6"/>
      <c r="O197" s="6" t="s">
        <v>113</v>
      </c>
      <c r="P197" s="6">
        <v>155</v>
      </c>
      <c r="Q197" s="6">
        <v>43</v>
      </c>
      <c r="R197" s="26">
        <v>76</v>
      </c>
      <c r="S197" s="26"/>
      <c r="T197" s="26"/>
      <c r="U197" s="26"/>
      <c r="V197" s="6" t="s">
        <v>574</v>
      </c>
    </row>
    <row r="198" spans="1:22">
      <c r="A198" s="17">
        <v>188</v>
      </c>
      <c r="B198" s="27">
        <v>46063</v>
      </c>
      <c r="C198" s="6" t="s">
        <v>575</v>
      </c>
      <c r="D198" s="6"/>
      <c r="E198" s="6" t="s">
        <v>40</v>
      </c>
      <c r="F198" s="33">
        <v>22743</v>
      </c>
      <c r="G198" s="21">
        <f>YEAR(F198)</f>
        <v>1962</v>
      </c>
      <c r="H198" s="22">
        <f t="shared" si="7"/>
        <v>64</v>
      </c>
      <c r="I198" s="23"/>
      <c r="J198" s="20" t="s">
        <v>27</v>
      </c>
      <c r="K198" s="6" t="s">
        <v>568</v>
      </c>
      <c r="L198" s="6"/>
      <c r="M198" s="25" t="s">
        <v>576</v>
      </c>
      <c r="N198" s="6"/>
      <c r="O198" s="6" t="s">
        <v>284</v>
      </c>
      <c r="P198" s="6">
        <v>151</v>
      </c>
      <c r="Q198" s="6">
        <v>51</v>
      </c>
      <c r="R198" s="26">
        <v>80</v>
      </c>
      <c r="S198" s="26"/>
      <c r="T198" s="26"/>
      <c r="U198" s="26"/>
      <c r="V198" s="6" t="s">
        <v>577</v>
      </c>
    </row>
    <row r="199" spans="1:22">
      <c r="A199" s="20">
        <v>189</v>
      </c>
      <c r="B199" s="27">
        <v>46063</v>
      </c>
      <c r="C199" s="6" t="s">
        <v>578</v>
      </c>
      <c r="D199" s="6"/>
      <c r="E199" s="6" t="s">
        <v>40</v>
      </c>
      <c r="F199" s="33" t="s">
        <v>579</v>
      </c>
      <c r="G199" s="21" t="str">
        <f>RIGHT(F199,4)</f>
        <v>1965</v>
      </c>
      <c r="H199" s="22">
        <f t="shared" si="7"/>
        <v>61</v>
      </c>
      <c r="I199" s="23" t="s">
        <v>27</v>
      </c>
      <c r="J199" s="20"/>
      <c r="K199" s="6" t="s">
        <v>568</v>
      </c>
      <c r="L199" s="6"/>
      <c r="M199" s="25" t="s">
        <v>580</v>
      </c>
      <c r="N199" s="6"/>
      <c r="O199" s="6" t="s">
        <v>34</v>
      </c>
      <c r="P199" s="6">
        <v>160</v>
      </c>
      <c r="Q199" s="6">
        <v>50</v>
      </c>
      <c r="R199" s="26">
        <v>72</v>
      </c>
      <c r="S199" s="26"/>
      <c r="T199" s="26"/>
      <c r="U199" s="26"/>
      <c r="V199" s="6" t="s">
        <v>581</v>
      </c>
    </row>
    <row r="200" spans="1:22">
      <c r="A200" s="17">
        <v>190</v>
      </c>
      <c r="B200" s="27">
        <v>46063</v>
      </c>
      <c r="C200" s="6" t="s">
        <v>582</v>
      </c>
      <c r="D200" s="6"/>
      <c r="E200" s="6" t="s">
        <v>40</v>
      </c>
      <c r="F200" s="33" t="s">
        <v>583</v>
      </c>
      <c r="G200" s="21" t="str">
        <f>RIGHT(F200,4)</f>
        <v>1957</v>
      </c>
      <c r="H200" s="22">
        <f t="shared" si="7"/>
        <v>69</v>
      </c>
      <c r="I200" s="23" t="s">
        <v>27</v>
      </c>
      <c r="J200" s="20"/>
      <c r="K200" s="6" t="s">
        <v>568</v>
      </c>
      <c r="L200" s="6"/>
      <c r="M200" s="25" t="s">
        <v>584</v>
      </c>
      <c r="N200" s="6"/>
      <c r="O200" s="6" t="s">
        <v>333</v>
      </c>
      <c r="P200" s="6">
        <v>160</v>
      </c>
      <c r="Q200" s="6">
        <v>55</v>
      </c>
      <c r="R200" s="26">
        <v>80</v>
      </c>
      <c r="S200" s="26"/>
      <c r="T200" s="26"/>
      <c r="U200" s="26"/>
      <c r="V200" s="6" t="s">
        <v>585</v>
      </c>
    </row>
    <row r="201" spans="1:22">
      <c r="A201" s="20">
        <v>191</v>
      </c>
      <c r="B201" s="27">
        <v>46063</v>
      </c>
      <c r="C201" s="6" t="s">
        <v>586</v>
      </c>
      <c r="D201" s="6"/>
      <c r="E201" s="6" t="s">
        <v>2374</v>
      </c>
      <c r="F201" s="33">
        <v>26792</v>
      </c>
      <c r="G201" s="21">
        <f>YEAR(F201)</f>
        <v>1973</v>
      </c>
      <c r="H201" s="22">
        <f t="shared" si="7"/>
        <v>53</v>
      </c>
      <c r="I201" s="23" t="s">
        <v>27</v>
      </c>
      <c r="J201" s="20"/>
      <c r="K201" s="6" t="s">
        <v>568</v>
      </c>
      <c r="L201" s="25"/>
      <c r="M201" s="25" t="s">
        <v>587</v>
      </c>
      <c r="N201" s="6"/>
      <c r="O201" s="6" t="s">
        <v>284</v>
      </c>
      <c r="P201" s="6">
        <v>165</v>
      </c>
      <c r="Q201" s="6">
        <v>64</v>
      </c>
      <c r="R201" s="26">
        <v>78</v>
      </c>
      <c r="S201" s="26"/>
      <c r="T201" s="26"/>
      <c r="U201" s="26"/>
      <c r="V201" s="6" t="s">
        <v>588</v>
      </c>
    </row>
    <row r="202" spans="1:22">
      <c r="A202" s="17">
        <v>192</v>
      </c>
      <c r="B202" s="27">
        <v>46063</v>
      </c>
      <c r="C202" s="6" t="s">
        <v>589</v>
      </c>
      <c r="D202" s="6"/>
      <c r="E202" s="6" t="s">
        <v>2374</v>
      </c>
      <c r="F202" s="33">
        <v>25938</v>
      </c>
      <c r="G202" s="21">
        <f>YEAR(F202)</f>
        <v>1971</v>
      </c>
      <c r="H202" s="22">
        <f t="shared" si="7"/>
        <v>55</v>
      </c>
      <c r="I202" s="23"/>
      <c r="J202" s="20" t="s">
        <v>27</v>
      </c>
      <c r="K202" s="6" t="s">
        <v>568</v>
      </c>
      <c r="L202" s="25"/>
      <c r="M202" s="25" t="s">
        <v>590</v>
      </c>
      <c r="N202" s="6"/>
      <c r="O202" s="6" t="s">
        <v>146</v>
      </c>
      <c r="P202" s="6">
        <v>157</v>
      </c>
      <c r="Q202" s="6">
        <v>50</v>
      </c>
      <c r="R202" s="26">
        <v>78</v>
      </c>
      <c r="S202" s="26"/>
      <c r="T202" s="26"/>
      <c r="U202" s="26"/>
      <c r="V202" s="6" t="s">
        <v>591</v>
      </c>
    </row>
    <row r="203" spans="1:22">
      <c r="A203" s="20">
        <v>193</v>
      </c>
      <c r="B203" s="27">
        <v>46063</v>
      </c>
      <c r="C203" s="6" t="s">
        <v>592</v>
      </c>
      <c r="D203" s="6"/>
      <c r="E203" s="6" t="s">
        <v>40</v>
      </c>
      <c r="F203" s="33">
        <v>20000</v>
      </c>
      <c r="G203" s="21">
        <f>YEAR(F203)</f>
        <v>1954</v>
      </c>
      <c r="H203" s="22">
        <f t="shared" ref="H203:H266" si="9">2026-G203</f>
        <v>72</v>
      </c>
      <c r="I203" s="23"/>
      <c r="J203" s="20" t="s">
        <v>27</v>
      </c>
      <c r="K203" s="6" t="s">
        <v>568</v>
      </c>
      <c r="L203" s="25"/>
      <c r="M203" s="25" t="s">
        <v>593</v>
      </c>
      <c r="N203" s="6"/>
      <c r="O203" s="6" t="s">
        <v>87</v>
      </c>
      <c r="P203" s="6">
        <v>151</v>
      </c>
      <c r="Q203" s="6">
        <v>40</v>
      </c>
      <c r="R203" s="26">
        <v>76</v>
      </c>
      <c r="S203" s="26"/>
      <c r="T203" s="26"/>
      <c r="U203" s="26"/>
      <c r="V203" s="6" t="s">
        <v>594</v>
      </c>
    </row>
    <row r="204" spans="1:22">
      <c r="A204" s="17">
        <v>194</v>
      </c>
      <c r="B204" s="27">
        <v>46063</v>
      </c>
      <c r="C204" s="6" t="s">
        <v>67</v>
      </c>
      <c r="D204" s="6"/>
      <c r="E204" s="6" t="s">
        <v>2374</v>
      </c>
      <c r="F204" s="33" t="s">
        <v>595</v>
      </c>
      <c r="G204" s="21" t="str">
        <f>RIGHT(F204,4)</f>
        <v>1977</v>
      </c>
      <c r="H204" s="22">
        <f t="shared" si="9"/>
        <v>49</v>
      </c>
      <c r="I204" s="23"/>
      <c r="J204" s="20" t="s">
        <v>27</v>
      </c>
      <c r="K204" s="6" t="s">
        <v>596</v>
      </c>
      <c r="L204" s="25"/>
      <c r="M204" s="25" t="s">
        <v>597</v>
      </c>
      <c r="N204" s="6"/>
      <c r="O204" s="6" t="s">
        <v>280</v>
      </c>
      <c r="P204" s="6">
        <v>155</v>
      </c>
      <c r="Q204" s="6">
        <v>52</v>
      </c>
      <c r="R204" s="26">
        <v>80</v>
      </c>
      <c r="S204" s="26"/>
      <c r="T204" s="26"/>
      <c r="U204" s="26"/>
      <c r="V204" s="6" t="s">
        <v>598</v>
      </c>
    </row>
    <row r="205" spans="1:22">
      <c r="A205" s="20">
        <v>195</v>
      </c>
      <c r="B205" s="27">
        <v>46063</v>
      </c>
      <c r="C205" s="6" t="s">
        <v>599</v>
      </c>
      <c r="D205" s="6"/>
      <c r="E205" s="6" t="s">
        <v>2374</v>
      </c>
      <c r="F205" s="33">
        <v>28187</v>
      </c>
      <c r="G205" s="21">
        <f>YEAR(F205)</f>
        <v>1977</v>
      </c>
      <c r="H205" s="22">
        <f t="shared" si="9"/>
        <v>49</v>
      </c>
      <c r="I205" s="23"/>
      <c r="J205" s="20" t="s">
        <v>27</v>
      </c>
      <c r="K205" s="6" t="s">
        <v>596</v>
      </c>
      <c r="L205" s="25"/>
      <c r="M205" s="25" t="s">
        <v>600</v>
      </c>
      <c r="N205" s="6"/>
      <c r="O205" s="6" t="s">
        <v>87</v>
      </c>
      <c r="P205" s="6">
        <v>150</v>
      </c>
      <c r="Q205" s="6">
        <v>50</v>
      </c>
      <c r="R205" s="26">
        <v>77</v>
      </c>
      <c r="S205" s="26"/>
      <c r="T205" s="26"/>
      <c r="U205" s="26"/>
      <c r="V205" s="6" t="s">
        <v>598</v>
      </c>
    </row>
    <row r="206" spans="1:22">
      <c r="A206" s="17">
        <v>196</v>
      </c>
      <c r="B206" s="27">
        <v>46063</v>
      </c>
      <c r="C206" s="6" t="s">
        <v>601</v>
      </c>
      <c r="D206" s="6"/>
      <c r="E206" s="6" t="s">
        <v>2374</v>
      </c>
      <c r="F206" s="33" t="s">
        <v>602</v>
      </c>
      <c r="G206" s="21" t="str">
        <f>RIGHT(F206,4)</f>
        <v>1975</v>
      </c>
      <c r="H206" s="22">
        <f t="shared" si="9"/>
        <v>51</v>
      </c>
      <c r="I206" s="23"/>
      <c r="J206" s="20" t="s">
        <v>27</v>
      </c>
      <c r="K206" s="6" t="s">
        <v>596</v>
      </c>
      <c r="L206" s="25"/>
      <c r="M206" s="25" t="s">
        <v>603</v>
      </c>
      <c r="N206" s="6"/>
      <c r="O206" s="6" t="s">
        <v>60</v>
      </c>
      <c r="P206" s="6">
        <v>156</v>
      </c>
      <c r="Q206" s="6">
        <v>48</v>
      </c>
      <c r="R206" s="26">
        <v>77</v>
      </c>
      <c r="S206" s="26"/>
      <c r="T206" s="26"/>
      <c r="U206" s="26"/>
      <c r="V206" s="6" t="s">
        <v>604</v>
      </c>
    </row>
    <row r="207" spans="1:22">
      <c r="A207" s="20">
        <v>197</v>
      </c>
      <c r="B207" s="27">
        <v>46063</v>
      </c>
      <c r="C207" s="6" t="s">
        <v>605</v>
      </c>
      <c r="D207" s="6"/>
      <c r="E207" s="6" t="s">
        <v>2374</v>
      </c>
      <c r="F207" s="33">
        <v>27730</v>
      </c>
      <c r="G207" s="21">
        <f>YEAR(F207)</f>
        <v>1975</v>
      </c>
      <c r="H207" s="22">
        <f t="shared" si="9"/>
        <v>51</v>
      </c>
      <c r="I207" s="23"/>
      <c r="J207" s="20" t="s">
        <v>27</v>
      </c>
      <c r="K207" s="6" t="s">
        <v>596</v>
      </c>
      <c r="L207" s="25"/>
      <c r="M207" s="25" t="s">
        <v>606</v>
      </c>
      <c r="N207" s="6"/>
      <c r="O207" s="6"/>
      <c r="P207" s="6"/>
      <c r="Q207" s="6"/>
      <c r="R207" s="26"/>
      <c r="S207" s="26"/>
      <c r="T207" s="26"/>
      <c r="U207" s="26"/>
      <c r="V207" s="6" t="s">
        <v>607</v>
      </c>
    </row>
    <row r="208" spans="1:22">
      <c r="A208" s="17">
        <v>198</v>
      </c>
      <c r="B208" s="27">
        <v>46063</v>
      </c>
      <c r="C208" s="6" t="s">
        <v>608</v>
      </c>
      <c r="D208" s="6"/>
      <c r="E208" s="6" t="s">
        <v>609</v>
      </c>
      <c r="F208" s="33">
        <v>27979</v>
      </c>
      <c r="G208" s="21">
        <f>YEAR(F208)</f>
        <v>1976</v>
      </c>
      <c r="H208" s="22">
        <f t="shared" si="9"/>
        <v>50</v>
      </c>
      <c r="I208" s="23"/>
      <c r="J208" s="20" t="s">
        <v>27</v>
      </c>
      <c r="K208" s="6" t="s">
        <v>534</v>
      </c>
      <c r="L208" s="25"/>
      <c r="M208" s="25" t="s">
        <v>610</v>
      </c>
      <c r="N208" s="6"/>
      <c r="O208" s="6" t="s">
        <v>570</v>
      </c>
      <c r="P208" s="6">
        <v>160</v>
      </c>
      <c r="Q208" s="6">
        <v>72</v>
      </c>
      <c r="R208" s="26">
        <v>82</v>
      </c>
      <c r="S208" s="26"/>
      <c r="T208" s="26"/>
      <c r="U208" s="26"/>
      <c r="V208" s="6" t="s">
        <v>611</v>
      </c>
    </row>
    <row r="209" spans="1:22">
      <c r="A209" s="20">
        <v>199</v>
      </c>
      <c r="B209" s="27">
        <v>46063</v>
      </c>
      <c r="C209" s="6" t="s">
        <v>612</v>
      </c>
      <c r="D209" s="6"/>
      <c r="E209" s="6" t="s">
        <v>2374</v>
      </c>
      <c r="F209" s="33">
        <v>27039</v>
      </c>
      <c r="G209" s="21">
        <f>YEAR(F209)</f>
        <v>1974</v>
      </c>
      <c r="H209" s="22">
        <f t="shared" si="9"/>
        <v>52</v>
      </c>
      <c r="I209" s="23"/>
      <c r="J209" s="20" t="s">
        <v>27</v>
      </c>
      <c r="K209" s="6" t="s">
        <v>534</v>
      </c>
      <c r="L209" s="25"/>
      <c r="M209" s="25" t="s">
        <v>613</v>
      </c>
      <c r="N209" s="6"/>
      <c r="O209" s="6" t="s">
        <v>309</v>
      </c>
      <c r="P209" s="6">
        <v>160</v>
      </c>
      <c r="Q209" s="6">
        <v>58</v>
      </c>
      <c r="R209" s="26">
        <v>76</v>
      </c>
      <c r="S209" s="26"/>
      <c r="T209" s="26"/>
      <c r="U209" s="26"/>
      <c r="V209" s="6" t="s">
        <v>614</v>
      </c>
    </row>
    <row r="210" spans="1:22">
      <c r="A210" s="17">
        <v>200</v>
      </c>
      <c r="B210" s="27">
        <v>46063</v>
      </c>
      <c r="C210" s="6" t="s">
        <v>615</v>
      </c>
      <c r="D210" s="6"/>
      <c r="E210" s="6" t="s">
        <v>2374</v>
      </c>
      <c r="F210" s="33">
        <v>25694</v>
      </c>
      <c r="G210" s="21">
        <f>YEAR(F210)</f>
        <v>1970</v>
      </c>
      <c r="H210" s="22">
        <f t="shared" si="9"/>
        <v>56</v>
      </c>
      <c r="I210" s="23"/>
      <c r="J210" s="20" t="s">
        <v>27</v>
      </c>
      <c r="K210" s="6" t="s">
        <v>534</v>
      </c>
      <c r="L210" s="25"/>
      <c r="M210" s="25" t="s">
        <v>616</v>
      </c>
      <c r="N210" s="6"/>
      <c r="O210" s="6" t="s">
        <v>87</v>
      </c>
      <c r="P210" s="6">
        <v>160</v>
      </c>
      <c r="Q210" s="6">
        <v>60</v>
      </c>
      <c r="R210" s="26">
        <v>80</v>
      </c>
      <c r="S210" s="26"/>
      <c r="T210" s="26"/>
      <c r="U210" s="26"/>
      <c r="V210" s="6" t="s">
        <v>617</v>
      </c>
    </row>
    <row r="211" spans="1:22">
      <c r="A211" s="20">
        <v>201</v>
      </c>
      <c r="B211" s="27">
        <v>46063</v>
      </c>
      <c r="C211" s="6" t="s">
        <v>105</v>
      </c>
      <c r="D211" s="6"/>
      <c r="E211" s="6" t="s">
        <v>2374</v>
      </c>
      <c r="F211" s="33" t="s">
        <v>618</v>
      </c>
      <c r="G211" s="21" t="str">
        <f>RIGHT(F211,4)</f>
        <v>1977</v>
      </c>
      <c r="H211" s="22">
        <f t="shared" si="9"/>
        <v>49</v>
      </c>
      <c r="I211" s="23"/>
      <c r="J211" s="20" t="s">
        <v>27</v>
      </c>
      <c r="K211" s="6" t="s">
        <v>534</v>
      </c>
      <c r="L211" s="25"/>
      <c r="M211" s="25" t="s">
        <v>619</v>
      </c>
      <c r="N211" s="6"/>
      <c r="O211" s="6" t="s">
        <v>60</v>
      </c>
      <c r="P211" s="6">
        <v>155</v>
      </c>
      <c r="Q211" s="6">
        <v>55</v>
      </c>
      <c r="R211" s="26">
        <v>80</v>
      </c>
      <c r="S211" s="26"/>
      <c r="T211" s="26"/>
      <c r="U211" s="26"/>
      <c r="V211" s="6" t="s">
        <v>620</v>
      </c>
    </row>
    <row r="212" spans="1:22">
      <c r="A212" s="17">
        <v>202</v>
      </c>
      <c r="B212" s="27">
        <v>46063</v>
      </c>
      <c r="C212" s="6" t="s">
        <v>621</v>
      </c>
      <c r="D212" s="6"/>
      <c r="E212" s="6" t="s">
        <v>40</v>
      </c>
      <c r="F212" s="33">
        <v>21497</v>
      </c>
      <c r="G212" s="21">
        <f>YEAR(F212)</f>
        <v>1958</v>
      </c>
      <c r="H212" s="22">
        <f t="shared" si="9"/>
        <v>68</v>
      </c>
      <c r="I212" s="23"/>
      <c r="J212" s="20" t="s">
        <v>27</v>
      </c>
      <c r="K212" s="6" t="s">
        <v>534</v>
      </c>
      <c r="L212" s="25"/>
      <c r="M212" s="25" t="s">
        <v>622</v>
      </c>
      <c r="N212" s="6"/>
      <c r="O212" s="6" t="s">
        <v>34</v>
      </c>
      <c r="P212" s="6">
        <v>160</v>
      </c>
      <c r="Q212" s="6">
        <v>55</v>
      </c>
      <c r="R212" s="26">
        <v>80</v>
      </c>
      <c r="S212" s="26"/>
      <c r="T212" s="26"/>
      <c r="U212" s="26"/>
      <c r="V212" s="6" t="s">
        <v>623</v>
      </c>
    </row>
    <row r="213" spans="1:22">
      <c r="A213" s="20">
        <v>203</v>
      </c>
      <c r="B213" s="27">
        <v>46063</v>
      </c>
      <c r="C213" s="6" t="s">
        <v>624</v>
      </c>
      <c r="D213" s="6"/>
      <c r="E213" s="6" t="s">
        <v>2374</v>
      </c>
      <c r="F213" s="33">
        <v>26299</v>
      </c>
      <c r="G213" s="21">
        <f>YEAR(F213)</f>
        <v>1972</v>
      </c>
      <c r="H213" s="22">
        <f t="shared" si="9"/>
        <v>54</v>
      </c>
      <c r="I213" s="23"/>
      <c r="J213" s="20" t="s">
        <v>27</v>
      </c>
      <c r="K213" s="6" t="s">
        <v>534</v>
      </c>
      <c r="L213" s="25"/>
      <c r="M213" s="25" t="s">
        <v>625</v>
      </c>
      <c r="N213" s="6"/>
      <c r="O213" s="6" t="s">
        <v>626</v>
      </c>
      <c r="P213" s="6">
        <v>150</v>
      </c>
      <c r="Q213" s="6">
        <v>45</v>
      </c>
      <c r="R213" s="26">
        <v>55</v>
      </c>
      <c r="S213" s="26"/>
      <c r="T213" s="26"/>
      <c r="U213" s="26"/>
      <c r="V213" s="6" t="s">
        <v>627</v>
      </c>
    </row>
    <row r="214" spans="1:22">
      <c r="A214" s="17">
        <v>204</v>
      </c>
      <c r="B214" s="27">
        <v>46063</v>
      </c>
      <c r="C214" s="6" t="s">
        <v>628</v>
      </c>
      <c r="D214" s="6"/>
      <c r="E214" s="6" t="s">
        <v>40</v>
      </c>
      <c r="F214" s="33">
        <v>21948</v>
      </c>
      <c r="G214" s="21">
        <f>YEAR(F214)</f>
        <v>1960</v>
      </c>
      <c r="H214" s="22">
        <f t="shared" si="9"/>
        <v>66</v>
      </c>
      <c r="I214" s="23"/>
      <c r="J214" s="20" t="s">
        <v>27</v>
      </c>
      <c r="K214" s="6" t="s">
        <v>596</v>
      </c>
      <c r="L214" s="25"/>
      <c r="M214" s="25" t="s">
        <v>629</v>
      </c>
      <c r="N214" s="6"/>
      <c r="O214" s="6" t="s">
        <v>630</v>
      </c>
      <c r="P214" s="6">
        <v>159</v>
      </c>
      <c r="Q214" s="6">
        <v>59</v>
      </c>
      <c r="R214" s="26">
        <v>89</v>
      </c>
      <c r="S214" s="26"/>
      <c r="T214" s="26"/>
      <c r="U214" s="26"/>
      <c r="V214" s="6" t="s">
        <v>631</v>
      </c>
    </row>
    <row r="215" spans="1:22">
      <c r="A215" s="20">
        <v>205</v>
      </c>
      <c r="B215" s="27">
        <v>46063</v>
      </c>
      <c r="C215" s="6" t="s">
        <v>632</v>
      </c>
      <c r="D215" s="6"/>
      <c r="E215" s="6" t="s">
        <v>2374</v>
      </c>
      <c r="F215" s="33">
        <v>33245</v>
      </c>
      <c r="G215" s="21">
        <f>YEAR(F215)</f>
        <v>1991</v>
      </c>
      <c r="H215" s="22">
        <f t="shared" si="9"/>
        <v>35</v>
      </c>
      <c r="I215" s="23" t="s">
        <v>27</v>
      </c>
      <c r="J215" s="20"/>
      <c r="K215" s="6" t="s">
        <v>534</v>
      </c>
      <c r="L215" s="25"/>
      <c r="M215" s="25" t="s">
        <v>633</v>
      </c>
      <c r="N215" s="6"/>
      <c r="O215" s="6" t="s">
        <v>634</v>
      </c>
      <c r="P215" s="6">
        <v>170</v>
      </c>
      <c r="Q215" s="6">
        <v>60</v>
      </c>
      <c r="R215" s="26">
        <v>80</v>
      </c>
      <c r="S215" s="26"/>
      <c r="T215" s="26"/>
      <c r="U215" s="26"/>
      <c r="V215" s="6" t="s">
        <v>604</v>
      </c>
    </row>
    <row r="216" spans="1:22">
      <c r="A216" s="17">
        <v>206</v>
      </c>
      <c r="B216" s="27">
        <v>46063</v>
      </c>
      <c r="C216" s="6" t="s">
        <v>635</v>
      </c>
      <c r="D216" s="6"/>
      <c r="E216" s="6" t="s">
        <v>2374</v>
      </c>
      <c r="F216" s="33" t="s">
        <v>636</v>
      </c>
      <c r="G216" s="21" t="str">
        <f>RIGHT(F216,4)</f>
        <v>1975</v>
      </c>
      <c r="H216" s="22">
        <f t="shared" si="9"/>
        <v>51</v>
      </c>
      <c r="I216" s="23"/>
      <c r="J216" s="20" t="s">
        <v>27</v>
      </c>
      <c r="K216" s="6" t="s">
        <v>596</v>
      </c>
      <c r="L216" s="25"/>
      <c r="M216" s="25" t="s">
        <v>637</v>
      </c>
      <c r="N216" s="6"/>
      <c r="O216" s="6" t="s">
        <v>87</v>
      </c>
      <c r="P216" s="6">
        <v>150</v>
      </c>
      <c r="Q216" s="6">
        <v>50</v>
      </c>
      <c r="R216" s="26">
        <v>85</v>
      </c>
      <c r="S216" s="26"/>
      <c r="T216" s="26"/>
      <c r="U216" s="26"/>
      <c r="V216" s="6" t="s">
        <v>604</v>
      </c>
    </row>
    <row r="217" spans="1:22">
      <c r="A217" s="20">
        <v>207</v>
      </c>
      <c r="B217" s="27">
        <v>46063</v>
      </c>
      <c r="C217" s="6" t="s">
        <v>638</v>
      </c>
      <c r="D217" s="6"/>
      <c r="E217" s="6" t="s">
        <v>2374</v>
      </c>
      <c r="F217" s="33">
        <v>27031</v>
      </c>
      <c r="G217" s="21">
        <f>YEAR(F217)</f>
        <v>1974</v>
      </c>
      <c r="H217" s="22">
        <f t="shared" si="9"/>
        <v>52</v>
      </c>
      <c r="I217" s="23"/>
      <c r="J217" s="20" t="s">
        <v>27</v>
      </c>
      <c r="K217" s="6" t="s">
        <v>596</v>
      </c>
      <c r="L217" s="25"/>
      <c r="M217" s="25" t="s">
        <v>639</v>
      </c>
      <c r="N217" s="6"/>
      <c r="O217" s="6" t="s">
        <v>149</v>
      </c>
      <c r="P217" s="6">
        <v>158</v>
      </c>
      <c r="Q217" s="6">
        <v>50</v>
      </c>
      <c r="R217" s="26">
        <v>85</v>
      </c>
      <c r="S217" s="26"/>
      <c r="T217" s="26"/>
      <c r="U217" s="26"/>
      <c r="V217" s="6" t="s">
        <v>640</v>
      </c>
    </row>
    <row r="218" spans="1:22">
      <c r="A218" s="17">
        <v>208</v>
      </c>
      <c r="B218" s="27">
        <v>46063</v>
      </c>
      <c r="C218" s="6" t="s">
        <v>641</v>
      </c>
      <c r="D218" s="6"/>
      <c r="E218" s="6" t="s">
        <v>40</v>
      </c>
      <c r="F218" s="33">
        <v>23872</v>
      </c>
      <c r="G218" s="21">
        <f>YEAR(F218)</f>
        <v>1965</v>
      </c>
      <c r="H218" s="22">
        <f t="shared" si="9"/>
        <v>61</v>
      </c>
      <c r="I218" s="23"/>
      <c r="J218" s="20" t="s">
        <v>27</v>
      </c>
      <c r="K218" s="6" t="s">
        <v>596</v>
      </c>
      <c r="L218" s="25"/>
      <c r="M218" s="25" t="s">
        <v>642</v>
      </c>
      <c r="N218" s="6"/>
      <c r="O218" s="6" t="s">
        <v>309</v>
      </c>
      <c r="P218" s="6">
        <v>150</v>
      </c>
      <c r="Q218" s="6">
        <v>48</v>
      </c>
      <c r="R218" s="26">
        <v>89</v>
      </c>
      <c r="S218" s="26"/>
      <c r="T218" s="26"/>
      <c r="U218" s="26"/>
      <c r="V218" s="6" t="s">
        <v>643</v>
      </c>
    </row>
    <row r="219" spans="1:22">
      <c r="A219" s="20">
        <v>209</v>
      </c>
      <c r="B219" s="27">
        <v>46063</v>
      </c>
      <c r="C219" s="6" t="s">
        <v>644</v>
      </c>
      <c r="D219" s="6"/>
      <c r="E219" s="6" t="s">
        <v>2374</v>
      </c>
      <c r="F219" s="33" t="s">
        <v>645</v>
      </c>
      <c r="G219" s="21" t="str">
        <f>RIGHT(F219,4)</f>
        <v>1983</v>
      </c>
      <c r="H219" s="22">
        <f t="shared" si="9"/>
        <v>43</v>
      </c>
      <c r="I219" s="23"/>
      <c r="J219" s="20" t="s">
        <v>27</v>
      </c>
      <c r="K219" s="6" t="s">
        <v>596</v>
      </c>
      <c r="L219" s="25"/>
      <c r="M219" s="25" t="s">
        <v>646</v>
      </c>
      <c r="N219" s="6"/>
      <c r="O219" s="6" t="s">
        <v>647</v>
      </c>
      <c r="P219" s="6"/>
      <c r="Q219" s="6"/>
      <c r="R219" s="26">
        <v>93</v>
      </c>
      <c r="S219" s="26"/>
      <c r="T219" s="26"/>
      <c r="U219" s="26"/>
      <c r="V219" s="6" t="s">
        <v>648</v>
      </c>
    </row>
    <row r="220" spans="1:22">
      <c r="A220" s="17">
        <v>210</v>
      </c>
      <c r="B220" s="27">
        <v>46063</v>
      </c>
      <c r="C220" s="6" t="s">
        <v>649</v>
      </c>
      <c r="D220" s="6"/>
      <c r="E220" s="6" t="s">
        <v>2374</v>
      </c>
      <c r="F220" s="33">
        <v>25882</v>
      </c>
      <c r="G220" s="21">
        <f>YEAR(F220)</f>
        <v>1970</v>
      </c>
      <c r="H220" s="22">
        <f t="shared" si="9"/>
        <v>56</v>
      </c>
      <c r="I220" s="23"/>
      <c r="J220" s="20" t="s">
        <v>27</v>
      </c>
      <c r="K220" s="6" t="s">
        <v>596</v>
      </c>
      <c r="L220" s="25"/>
      <c r="M220" s="25" t="s">
        <v>650</v>
      </c>
      <c r="N220" s="6"/>
      <c r="O220" s="6" t="s">
        <v>651</v>
      </c>
      <c r="P220" s="6">
        <v>152</v>
      </c>
      <c r="Q220" s="6">
        <v>44</v>
      </c>
      <c r="R220" s="26">
        <v>70</v>
      </c>
      <c r="S220" s="26"/>
      <c r="T220" s="26"/>
      <c r="U220" s="26"/>
      <c r="V220" s="6" t="s">
        <v>652</v>
      </c>
    </row>
    <row r="221" spans="1:22">
      <c r="A221" s="20">
        <v>211</v>
      </c>
      <c r="B221" s="27">
        <v>46063</v>
      </c>
      <c r="C221" s="6" t="s">
        <v>653</v>
      </c>
      <c r="D221" s="6"/>
      <c r="E221" s="6" t="s">
        <v>40</v>
      </c>
      <c r="F221" s="33">
        <v>18541</v>
      </c>
      <c r="G221" s="21">
        <f>YEAR(F221)</f>
        <v>1950</v>
      </c>
      <c r="H221" s="22">
        <f t="shared" si="9"/>
        <v>76</v>
      </c>
      <c r="I221" s="23"/>
      <c r="J221" s="20" t="s">
        <v>27</v>
      </c>
      <c r="K221" s="6" t="s">
        <v>596</v>
      </c>
      <c r="L221" s="25"/>
      <c r="M221" s="25" t="s">
        <v>654</v>
      </c>
      <c r="N221" s="6"/>
      <c r="O221" s="6" t="s">
        <v>389</v>
      </c>
      <c r="P221" s="6"/>
      <c r="Q221" s="6"/>
      <c r="R221" s="26">
        <v>90</v>
      </c>
      <c r="S221" s="26"/>
      <c r="T221" s="26"/>
      <c r="U221" s="26"/>
      <c r="V221" s="6" t="s">
        <v>655</v>
      </c>
    </row>
    <row r="222" spans="1:22">
      <c r="A222" s="17">
        <v>212</v>
      </c>
      <c r="B222" s="27">
        <v>46063</v>
      </c>
      <c r="C222" s="6" t="s">
        <v>656</v>
      </c>
      <c r="D222" s="6"/>
      <c r="E222" s="6" t="s">
        <v>40</v>
      </c>
      <c r="F222" s="33">
        <v>11324</v>
      </c>
      <c r="G222" s="21">
        <f>YEAR(F222)</f>
        <v>1931</v>
      </c>
      <c r="H222" s="22">
        <f t="shared" si="9"/>
        <v>95</v>
      </c>
      <c r="I222" s="23"/>
      <c r="J222" s="20" t="s">
        <v>27</v>
      </c>
      <c r="K222" s="6" t="s">
        <v>596</v>
      </c>
      <c r="L222" s="25"/>
      <c r="M222" s="25" t="s">
        <v>657</v>
      </c>
      <c r="N222" s="6"/>
      <c r="O222" s="6" t="s">
        <v>42</v>
      </c>
      <c r="P222" s="6"/>
      <c r="Q222" s="6"/>
      <c r="R222" s="26">
        <v>80</v>
      </c>
      <c r="S222" s="26"/>
      <c r="T222" s="26"/>
      <c r="U222" s="26"/>
      <c r="V222" s="6" t="s">
        <v>658</v>
      </c>
    </row>
    <row r="223" spans="1:22">
      <c r="A223" s="20">
        <v>213</v>
      </c>
      <c r="B223" s="27">
        <v>46063</v>
      </c>
      <c r="C223" s="6" t="s">
        <v>659</v>
      </c>
      <c r="D223" s="6"/>
      <c r="E223" s="6" t="s">
        <v>2374</v>
      </c>
      <c r="F223" s="33">
        <v>25906</v>
      </c>
      <c r="G223" s="21">
        <f>YEAR(F223)</f>
        <v>1970</v>
      </c>
      <c r="H223" s="22">
        <f t="shared" si="9"/>
        <v>56</v>
      </c>
      <c r="I223" s="23"/>
      <c r="J223" s="20" t="s">
        <v>27</v>
      </c>
      <c r="K223" s="6" t="s">
        <v>596</v>
      </c>
      <c r="L223" s="25"/>
      <c r="M223" s="25" t="s">
        <v>660</v>
      </c>
      <c r="N223" s="6"/>
      <c r="O223" s="6" t="s">
        <v>661</v>
      </c>
      <c r="P223" s="6">
        <v>150</v>
      </c>
      <c r="Q223" s="6">
        <v>45</v>
      </c>
      <c r="R223" s="26">
        <v>88</v>
      </c>
      <c r="S223" s="26"/>
      <c r="T223" s="26"/>
      <c r="U223" s="26"/>
      <c r="V223" s="6" t="s">
        <v>662</v>
      </c>
    </row>
    <row r="224" spans="1:22">
      <c r="A224" s="17">
        <v>214</v>
      </c>
      <c r="B224" s="27">
        <v>46063</v>
      </c>
      <c r="C224" s="6" t="s">
        <v>663</v>
      </c>
      <c r="D224" s="6"/>
      <c r="E224" s="6" t="s">
        <v>2374</v>
      </c>
      <c r="F224" s="33">
        <v>32789</v>
      </c>
      <c r="G224" s="21">
        <f>YEAR(F224)</f>
        <v>1989</v>
      </c>
      <c r="H224" s="22">
        <f t="shared" si="9"/>
        <v>37</v>
      </c>
      <c r="I224" s="23"/>
      <c r="J224" s="20" t="s">
        <v>27</v>
      </c>
      <c r="K224" s="6" t="s">
        <v>534</v>
      </c>
      <c r="L224" s="25"/>
      <c r="M224" s="25" t="s">
        <v>664</v>
      </c>
      <c r="N224" s="6"/>
      <c r="O224" s="6" t="s">
        <v>665</v>
      </c>
      <c r="P224" s="6">
        <v>160</v>
      </c>
      <c r="Q224" s="6">
        <v>52</v>
      </c>
      <c r="R224" s="26">
        <v>82</v>
      </c>
      <c r="S224" s="26"/>
      <c r="T224" s="26"/>
      <c r="U224" s="26"/>
      <c r="V224" s="6" t="s">
        <v>604</v>
      </c>
    </row>
    <row r="225" spans="1:22">
      <c r="A225" s="20">
        <v>215</v>
      </c>
      <c r="B225" s="27">
        <v>46063</v>
      </c>
      <c r="C225" s="6" t="s">
        <v>666</v>
      </c>
      <c r="D225" s="6"/>
      <c r="E225" s="6" t="s">
        <v>2374</v>
      </c>
      <c r="F225" s="33" t="s">
        <v>667</v>
      </c>
      <c r="G225" s="21" t="str">
        <f>RIGHT(F225,4)</f>
        <v>1994</v>
      </c>
      <c r="H225" s="22">
        <f t="shared" si="9"/>
        <v>32</v>
      </c>
      <c r="I225" s="23" t="s">
        <v>27</v>
      </c>
      <c r="J225" s="20"/>
      <c r="K225" s="6" t="s">
        <v>596</v>
      </c>
      <c r="L225" s="25"/>
      <c r="M225" s="25" t="s">
        <v>668</v>
      </c>
      <c r="N225" s="6"/>
      <c r="O225" s="6" t="s">
        <v>34</v>
      </c>
      <c r="P225" s="6">
        <v>160</v>
      </c>
      <c r="Q225" s="6">
        <v>60</v>
      </c>
      <c r="R225" s="26">
        <v>100</v>
      </c>
      <c r="S225" s="26"/>
      <c r="T225" s="26"/>
      <c r="U225" s="26"/>
      <c r="V225" s="6" t="s">
        <v>669</v>
      </c>
    </row>
    <row r="226" spans="1:22">
      <c r="A226" s="17">
        <v>216</v>
      </c>
      <c r="B226" s="27">
        <v>46063</v>
      </c>
      <c r="C226" s="6" t="s">
        <v>670</v>
      </c>
      <c r="D226" s="6"/>
      <c r="E226" s="6" t="s">
        <v>2374</v>
      </c>
      <c r="F226" s="33">
        <v>25204</v>
      </c>
      <c r="G226" s="21">
        <f>YEAR(F226)</f>
        <v>1969</v>
      </c>
      <c r="H226" s="22">
        <f t="shared" si="9"/>
        <v>57</v>
      </c>
      <c r="I226" s="23"/>
      <c r="J226" s="20" t="s">
        <v>27</v>
      </c>
      <c r="K226" s="6" t="s">
        <v>596</v>
      </c>
      <c r="L226" s="25"/>
      <c r="M226" s="25" t="s">
        <v>671</v>
      </c>
      <c r="N226" s="6"/>
      <c r="O226" s="6" t="s">
        <v>34</v>
      </c>
      <c r="P226" s="6">
        <v>164</v>
      </c>
      <c r="Q226" s="6">
        <v>60</v>
      </c>
      <c r="R226" s="26">
        <v>78</v>
      </c>
      <c r="S226" s="26"/>
      <c r="T226" s="26"/>
      <c r="U226" s="26"/>
      <c r="V226" s="6" t="s">
        <v>672</v>
      </c>
    </row>
    <row r="227" spans="1:22">
      <c r="A227" s="20">
        <v>217</v>
      </c>
      <c r="B227" s="27">
        <v>46063</v>
      </c>
      <c r="C227" s="6" t="s">
        <v>490</v>
      </c>
      <c r="D227" s="6"/>
      <c r="E227" s="6" t="s">
        <v>40</v>
      </c>
      <c r="F227" s="33" t="s">
        <v>673</v>
      </c>
      <c r="G227" s="21" t="str">
        <f>RIGHT(F227,4)</f>
        <v>1956</v>
      </c>
      <c r="H227" s="22">
        <f t="shared" si="9"/>
        <v>70</v>
      </c>
      <c r="I227" s="23"/>
      <c r="J227" s="20" t="s">
        <v>27</v>
      </c>
      <c r="K227" s="6" t="s">
        <v>596</v>
      </c>
      <c r="L227" s="25"/>
      <c r="M227" s="25" t="s">
        <v>674</v>
      </c>
      <c r="N227" s="6"/>
      <c r="O227" s="6" t="s">
        <v>280</v>
      </c>
      <c r="P227" s="6">
        <v>160</v>
      </c>
      <c r="Q227" s="6">
        <v>38</v>
      </c>
      <c r="R227" s="26">
        <v>75</v>
      </c>
      <c r="S227" s="26"/>
      <c r="T227" s="26"/>
      <c r="U227" s="26"/>
      <c r="V227" s="6" t="s">
        <v>675</v>
      </c>
    </row>
    <row r="228" spans="1:22">
      <c r="A228" s="17">
        <v>218</v>
      </c>
      <c r="B228" s="27">
        <v>46063</v>
      </c>
      <c r="C228" s="6" t="s">
        <v>676</v>
      </c>
      <c r="D228" s="6"/>
      <c r="E228" s="6" t="s">
        <v>2374</v>
      </c>
      <c r="F228" s="33">
        <v>29992</v>
      </c>
      <c r="G228" s="21">
        <f>YEAR(F228)</f>
        <v>1982</v>
      </c>
      <c r="H228" s="22">
        <f t="shared" si="9"/>
        <v>44</v>
      </c>
      <c r="I228" s="23" t="s">
        <v>27</v>
      </c>
      <c r="J228" s="20"/>
      <c r="K228" s="6" t="s">
        <v>596</v>
      </c>
      <c r="L228" s="25"/>
      <c r="M228" s="25" t="s">
        <v>677</v>
      </c>
      <c r="N228" s="6"/>
      <c r="O228" s="6" t="s">
        <v>678</v>
      </c>
      <c r="P228" s="6">
        <v>167</v>
      </c>
      <c r="Q228" s="6">
        <v>53</v>
      </c>
      <c r="R228" s="26">
        <v>90</v>
      </c>
      <c r="S228" s="26"/>
      <c r="T228" s="26"/>
      <c r="U228" s="26"/>
      <c r="V228" s="6" t="s">
        <v>679</v>
      </c>
    </row>
    <row r="229" spans="1:22">
      <c r="A229" s="20">
        <v>219</v>
      </c>
      <c r="B229" s="27">
        <v>46063</v>
      </c>
      <c r="C229" s="6" t="s">
        <v>680</v>
      </c>
      <c r="D229" s="6"/>
      <c r="E229" s="6" t="s">
        <v>40</v>
      </c>
      <c r="F229" s="33">
        <v>16292</v>
      </c>
      <c r="G229" s="21">
        <f>YEAR(F229)</f>
        <v>1944</v>
      </c>
      <c r="H229" s="22">
        <f t="shared" si="9"/>
        <v>82</v>
      </c>
      <c r="I229" s="23"/>
      <c r="J229" s="20" t="s">
        <v>27</v>
      </c>
      <c r="K229" s="6" t="s">
        <v>568</v>
      </c>
      <c r="L229" s="25"/>
      <c r="M229" s="25" t="s">
        <v>681</v>
      </c>
      <c r="N229" s="6"/>
      <c r="O229" s="6" t="s">
        <v>34</v>
      </c>
      <c r="P229" s="6"/>
      <c r="Q229" s="6"/>
      <c r="R229" s="26"/>
      <c r="S229" s="26"/>
      <c r="T229" s="26"/>
      <c r="U229" s="26"/>
      <c r="V229" s="6" t="s">
        <v>682</v>
      </c>
    </row>
    <row r="230" spans="1:22">
      <c r="A230" s="17">
        <v>220</v>
      </c>
      <c r="B230" s="27">
        <v>46063</v>
      </c>
      <c r="C230" s="6" t="s">
        <v>683</v>
      </c>
      <c r="D230" s="6"/>
      <c r="E230" s="6" t="s">
        <v>2374</v>
      </c>
      <c r="F230" s="33">
        <v>32054</v>
      </c>
      <c r="G230" s="21">
        <f>YEAR(F230)</f>
        <v>1987</v>
      </c>
      <c r="H230" s="22">
        <f t="shared" si="9"/>
        <v>39</v>
      </c>
      <c r="I230" s="23" t="s">
        <v>27</v>
      </c>
      <c r="J230" s="20"/>
      <c r="K230" s="6" t="s">
        <v>534</v>
      </c>
      <c r="L230" s="25"/>
      <c r="M230" s="48" t="s">
        <v>684</v>
      </c>
      <c r="N230" s="6"/>
      <c r="O230" s="6" t="s">
        <v>630</v>
      </c>
      <c r="P230" s="6">
        <v>162</v>
      </c>
      <c r="Q230" s="6">
        <v>58</v>
      </c>
      <c r="R230" s="26">
        <v>82</v>
      </c>
      <c r="S230" s="26"/>
      <c r="T230" s="26"/>
      <c r="U230" s="26"/>
      <c r="V230" s="6" t="s">
        <v>604</v>
      </c>
    </row>
    <row r="231" spans="1:22">
      <c r="A231" s="20">
        <v>221</v>
      </c>
      <c r="B231" s="27">
        <v>46063</v>
      </c>
      <c r="C231" s="6" t="s">
        <v>685</v>
      </c>
      <c r="D231" s="6"/>
      <c r="E231" s="6" t="s">
        <v>2374</v>
      </c>
      <c r="F231" s="33">
        <v>28313</v>
      </c>
      <c r="G231" s="21">
        <f>YEAR(F231)</f>
        <v>1977</v>
      </c>
      <c r="H231" s="22">
        <f t="shared" si="9"/>
        <v>49</v>
      </c>
      <c r="I231" s="23" t="s">
        <v>27</v>
      </c>
      <c r="J231" s="20"/>
      <c r="K231" s="6" t="s">
        <v>534</v>
      </c>
      <c r="L231" s="25"/>
      <c r="M231" s="25" t="s">
        <v>686</v>
      </c>
      <c r="N231" s="6"/>
      <c r="O231" s="6" t="s">
        <v>687</v>
      </c>
      <c r="P231" s="6">
        <v>166</v>
      </c>
      <c r="Q231" s="6">
        <v>64</v>
      </c>
      <c r="R231" s="26">
        <v>90</v>
      </c>
      <c r="S231" s="26"/>
      <c r="T231" s="26"/>
      <c r="U231" s="26"/>
      <c r="V231" s="6" t="s">
        <v>688</v>
      </c>
    </row>
    <row r="232" spans="1:22">
      <c r="A232" s="17">
        <v>222</v>
      </c>
      <c r="B232" s="27">
        <v>46063</v>
      </c>
      <c r="C232" s="25" t="s">
        <v>689</v>
      </c>
      <c r="D232" s="25"/>
      <c r="E232" s="6" t="s">
        <v>2374</v>
      </c>
      <c r="F232" s="33">
        <v>25904</v>
      </c>
      <c r="G232" s="21">
        <f>YEAR(F232)</f>
        <v>1970</v>
      </c>
      <c r="H232" s="22">
        <f t="shared" si="9"/>
        <v>56</v>
      </c>
      <c r="I232" s="23" t="s">
        <v>27</v>
      </c>
      <c r="J232" s="20"/>
      <c r="K232" s="6" t="s">
        <v>534</v>
      </c>
      <c r="L232" s="25"/>
      <c r="M232" s="25" t="s">
        <v>690</v>
      </c>
      <c r="N232" s="6"/>
      <c r="O232" s="6" t="s">
        <v>87</v>
      </c>
      <c r="P232" s="6">
        <v>160</v>
      </c>
      <c r="Q232" s="6">
        <v>54</v>
      </c>
      <c r="R232" s="26">
        <v>80</v>
      </c>
      <c r="S232" s="26"/>
      <c r="T232" s="26"/>
      <c r="U232" s="26"/>
      <c r="V232" s="6" t="s">
        <v>691</v>
      </c>
    </row>
    <row r="233" spans="1:22">
      <c r="A233" s="20">
        <v>223</v>
      </c>
      <c r="B233" s="27">
        <v>46063</v>
      </c>
      <c r="C233" s="6" t="s">
        <v>692</v>
      </c>
      <c r="D233" s="6"/>
      <c r="E233" s="6" t="s">
        <v>2374</v>
      </c>
      <c r="F233" s="33" t="s">
        <v>693</v>
      </c>
      <c r="G233" s="21" t="str">
        <f>RIGHT(F233,4)</f>
        <v>1986</v>
      </c>
      <c r="H233" s="22">
        <f t="shared" si="9"/>
        <v>40</v>
      </c>
      <c r="I233" s="23"/>
      <c r="J233" s="20" t="s">
        <v>27</v>
      </c>
      <c r="K233" s="6" t="s">
        <v>534</v>
      </c>
      <c r="L233" s="25"/>
      <c r="M233" s="25" t="s">
        <v>694</v>
      </c>
      <c r="N233" s="6"/>
      <c r="O233" s="6" t="s">
        <v>665</v>
      </c>
      <c r="P233" s="6">
        <v>150</v>
      </c>
      <c r="Q233" s="6">
        <v>45</v>
      </c>
      <c r="R233" s="26">
        <v>82</v>
      </c>
      <c r="S233" s="26"/>
      <c r="T233" s="26"/>
      <c r="U233" s="26"/>
      <c r="V233" s="6" t="s">
        <v>695</v>
      </c>
    </row>
    <row r="234" spans="1:22">
      <c r="A234" s="17">
        <v>224</v>
      </c>
      <c r="B234" s="27">
        <v>46063</v>
      </c>
      <c r="C234" s="6" t="s">
        <v>696</v>
      </c>
      <c r="D234" s="6"/>
      <c r="E234" s="6" t="s">
        <v>2374</v>
      </c>
      <c r="F234" s="33" t="s">
        <v>697</v>
      </c>
      <c r="G234" s="21" t="str">
        <f>RIGHT(F234,4)</f>
        <v>1976</v>
      </c>
      <c r="H234" s="22">
        <f t="shared" si="9"/>
        <v>50</v>
      </c>
      <c r="I234" s="23"/>
      <c r="J234" s="20" t="s">
        <v>27</v>
      </c>
      <c r="K234" s="6" t="s">
        <v>534</v>
      </c>
      <c r="L234" s="25"/>
      <c r="M234" s="25"/>
      <c r="N234" s="6"/>
      <c r="O234" s="6" t="s">
        <v>698</v>
      </c>
      <c r="P234" s="6">
        <v>155</v>
      </c>
      <c r="Q234" s="6">
        <v>52</v>
      </c>
      <c r="R234" s="26">
        <v>75</v>
      </c>
      <c r="S234" s="26"/>
      <c r="T234" s="26"/>
      <c r="U234" s="26"/>
      <c r="V234" s="6" t="s">
        <v>699</v>
      </c>
    </row>
    <row r="235" spans="1:22">
      <c r="A235" s="20">
        <v>225</v>
      </c>
      <c r="B235" s="27">
        <v>46063</v>
      </c>
      <c r="C235" s="6" t="s">
        <v>700</v>
      </c>
      <c r="D235" s="6"/>
      <c r="E235" s="6" t="s">
        <v>40</v>
      </c>
      <c r="F235" s="33" t="s">
        <v>701</v>
      </c>
      <c r="G235" s="21" t="str">
        <f>RIGHT(F235,4)</f>
        <v>1962</v>
      </c>
      <c r="H235" s="22">
        <f t="shared" si="9"/>
        <v>64</v>
      </c>
      <c r="I235" s="23" t="s">
        <v>27</v>
      </c>
      <c r="J235" s="20"/>
      <c r="K235" s="6" t="s">
        <v>534</v>
      </c>
      <c r="L235" s="25"/>
      <c r="M235" s="25" t="s">
        <v>702</v>
      </c>
      <c r="N235" s="6"/>
      <c r="O235" s="6" t="s">
        <v>703</v>
      </c>
      <c r="P235" s="6">
        <v>163</v>
      </c>
      <c r="Q235" s="6">
        <v>54</v>
      </c>
      <c r="R235" s="26">
        <v>97</v>
      </c>
      <c r="S235" s="26"/>
      <c r="T235" s="26"/>
      <c r="U235" s="26"/>
      <c r="V235" s="6" t="s">
        <v>704</v>
      </c>
    </row>
    <row r="236" spans="1:22">
      <c r="A236" s="17">
        <v>226</v>
      </c>
      <c r="B236" s="27">
        <v>46063</v>
      </c>
      <c r="C236" s="6" t="s">
        <v>705</v>
      </c>
      <c r="D236" s="6"/>
      <c r="E236" s="6" t="s">
        <v>2374</v>
      </c>
      <c r="F236" s="33" t="s">
        <v>706</v>
      </c>
      <c r="G236" s="21" t="str">
        <f>RIGHT(F236,4)</f>
        <v>1993</v>
      </c>
      <c r="H236" s="22">
        <f t="shared" si="9"/>
        <v>33</v>
      </c>
      <c r="I236" s="23" t="s">
        <v>27</v>
      </c>
      <c r="J236" s="20"/>
      <c r="K236" s="6" t="s">
        <v>534</v>
      </c>
      <c r="L236" s="25"/>
      <c r="M236" s="25" t="s">
        <v>707</v>
      </c>
      <c r="N236" s="6"/>
      <c r="O236" s="6" t="s">
        <v>665</v>
      </c>
      <c r="P236" s="6">
        <v>175</v>
      </c>
      <c r="Q236" s="6">
        <v>62</v>
      </c>
      <c r="R236" s="26">
        <v>82</v>
      </c>
      <c r="S236" s="26"/>
      <c r="T236" s="26"/>
      <c r="U236" s="26"/>
      <c r="V236" s="6" t="s">
        <v>604</v>
      </c>
    </row>
    <row r="237" spans="1:22">
      <c r="A237" s="20">
        <v>227</v>
      </c>
      <c r="B237" s="27">
        <v>46063</v>
      </c>
      <c r="C237" s="6" t="s">
        <v>708</v>
      </c>
      <c r="D237" s="6"/>
      <c r="E237" s="6" t="s">
        <v>2375</v>
      </c>
      <c r="F237" s="33">
        <v>27862</v>
      </c>
      <c r="G237" s="21">
        <f>YEAR(F237)</f>
        <v>1976</v>
      </c>
      <c r="H237" s="22">
        <f t="shared" si="9"/>
        <v>50</v>
      </c>
      <c r="I237" s="23" t="s">
        <v>27</v>
      </c>
      <c r="J237" s="20"/>
      <c r="K237" s="6" t="s">
        <v>534</v>
      </c>
      <c r="L237" s="25"/>
      <c r="M237" s="25" t="s">
        <v>709</v>
      </c>
      <c r="N237" s="6"/>
      <c r="O237" s="6" t="s">
        <v>665</v>
      </c>
      <c r="P237" s="6">
        <v>157</v>
      </c>
      <c r="Q237" s="6">
        <v>55</v>
      </c>
      <c r="R237" s="26">
        <v>82</v>
      </c>
      <c r="S237" s="26"/>
      <c r="T237" s="26"/>
      <c r="U237" s="26"/>
      <c r="V237" s="6" t="s">
        <v>710</v>
      </c>
    </row>
    <row r="238" spans="1:22">
      <c r="A238" s="17">
        <v>228</v>
      </c>
      <c r="B238" s="27">
        <v>46063</v>
      </c>
      <c r="C238" s="6" t="s">
        <v>711</v>
      </c>
      <c r="D238" s="6"/>
      <c r="E238" s="6" t="s">
        <v>2374</v>
      </c>
      <c r="F238" s="33" t="s">
        <v>712</v>
      </c>
      <c r="G238" s="21" t="str">
        <f>RIGHT(F238,4)</f>
        <v>1967</v>
      </c>
      <c r="H238" s="22">
        <f t="shared" si="9"/>
        <v>59</v>
      </c>
      <c r="I238" s="23"/>
      <c r="J238" s="20" t="s">
        <v>27</v>
      </c>
      <c r="K238" s="6" t="s">
        <v>534</v>
      </c>
      <c r="L238" s="25"/>
      <c r="M238" s="25" t="s">
        <v>713</v>
      </c>
      <c r="N238" s="6"/>
      <c r="O238" s="6" t="s">
        <v>714</v>
      </c>
      <c r="P238" s="6">
        <v>159</v>
      </c>
      <c r="Q238" s="6">
        <v>70</v>
      </c>
      <c r="R238" s="26">
        <v>85</v>
      </c>
      <c r="S238" s="26"/>
      <c r="T238" s="26"/>
      <c r="U238" s="26"/>
      <c r="V238" s="6" t="s">
        <v>715</v>
      </c>
    </row>
    <row r="239" spans="1:22">
      <c r="A239" s="20">
        <v>229</v>
      </c>
      <c r="B239" s="27">
        <v>46063</v>
      </c>
      <c r="C239" s="6" t="s">
        <v>716</v>
      </c>
      <c r="D239" s="6"/>
      <c r="E239" s="6" t="s">
        <v>40</v>
      </c>
      <c r="F239" s="33">
        <v>15313</v>
      </c>
      <c r="G239" s="21">
        <f>YEAR(F239)</f>
        <v>1941</v>
      </c>
      <c r="H239" s="22">
        <f t="shared" si="9"/>
        <v>85</v>
      </c>
      <c r="I239" s="23"/>
      <c r="J239" s="20" t="s">
        <v>27</v>
      </c>
      <c r="K239" s="6" t="s">
        <v>534</v>
      </c>
      <c r="L239" s="25"/>
      <c r="M239" s="25" t="s">
        <v>717</v>
      </c>
      <c r="N239" s="6"/>
      <c r="O239" s="6" t="s">
        <v>143</v>
      </c>
      <c r="P239" s="6">
        <v>150</v>
      </c>
      <c r="Q239" s="6">
        <v>46</v>
      </c>
      <c r="R239" s="26">
        <v>97</v>
      </c>
      <c r="S239" s="26"/>
      <c r="T239" s="26"/>
      <c r="U239" s="26"/>
      <c r="V239" s="6" t="s">
        <v>718</v>
      </c>
    </row>
    <row r="240" spans="1:22">
      <c r="A240" s="17">
        <v>230</v>
      </c>
      <c r="B240" s="27">
        <v>46063</v>
      </c>
      <c r="C240" s="6" t="s">
        <v>154</v>
      </c>
      <c r="D240" s="6"/>
      <c r="E240" s="51" t="s">
        <v>2374</v>
      </c>
      <c r="F240" s="33">
        <v>36893</v>
      </c>
      <c r="G240" s="21">
        <f>YEAR(F240)</f>
        <v>2001</v>
      </c>
      <c r="H240" s="22">
        <f t="shared" si="9"/>
        <v>25</v>
      </c>
      <c r="I240" s="23"/>
      <c r="J240" s="20" t="s">
        <v>27</v>
      </c>
      <c r="K240" s="6" t="s">
        <v>534</v>
      </c>
      <c r="L240" s="25"/>
      <c r="M240" s="25" t="s">
        <v>719</v>
      </c>
      <c r="N240" s="6"/>
      <c r="O240" s="6" t="s">
        <v>38</v>
      </c>
      <c r="P240" s="6">
        <v>156</v>
      </c>
      <c r="Q240" s="6">
        <v>44</v>
      </c>
      <c r="R240" s="26">
        <v>94</v>
      </c>
      <c r="S240" s="26"/>
      <c r="T240" s="26"/>
      <c r="U240" s="26"/>
      <c r="V240" s="6" t="s">
        <v>720</v>
      </c>
    </row>
    <row r="241" spans="1:22">
      <c r="A241" s="20">
        <v>231</v>
      </c>
      <c r="B241" s="27">
        <v>46063</v>
      </c>
      <c r="C241" s="6" t="s">
        <v>721</v>
      </c>
      <c r="D241" s="6"/>
      <c r="E241" s="6" t="s">
        <v>2374</v>
      </c>
      <c r="F241" s="33" t="s">
        <v>722</v>
      </c>
      <c r="G241" s="21" t="str">
        <f>RIGHT(F241,4)</f>
        <v>2003</v>
      </c>
      <c r="H241" s="22">
        <f t="shared" si="9"/>
        <v>23</v>
      </c>
      <c r="I241" s="23"/>
      <c r="J241" s="20" t="s">
        <v>27</v>
      </c>
      <c r="K241" s="6" t="s">
        <v>534</v>
      </c>
      <c r="L241" s="25"/>
      <c r="M241" s="25" t="s">
        <v>723</v>
      </c>
      <c r="N241" s="6"/>
      <c r="O241" s="6" t="s">
        <v>724</v>
      </c>
      <c r="P241" s="6">
        <v>160</v>
      </c>
      <c r="Q241" s="6">
        <v>48</v>
      </c>
      <c r="R241" s="26">
        <v>78</v>
      </c>
      <c r="S241" s="26"/>
      <c r="T241" s="26"/>
      <c r="U241" s="26"/>
      <c r="V241" s="6" t="s">
        <v>604</v>
      </c>
    </row>
    <row r="242" spans="1:22">
      <c r="A242" s="17">
        <v>232</v>
      </c>
      <c r="B242" s="27">
        <v>46063</v>
      </c>
      <c r="C242" s="6" t="s">
        <v>725</v>
      </c>
      <c r="D242" s="6"/>
      <c r="E242" s="6" t="s">
        <v>2374</v>
      </c>
      <c r="F242" s="33">
        <v>37111</v>
      </c>
      <c r="G242" s="21">
        <f>YEAR(F242)</f>
        <v>2001</v>
      </c>
      <c r="H242" s="22">
        <f t="shared" si="9"/>
        <v>25</v>
      </c>
      <c r="I242" s="23"/>
      <c r="J242" s="20" t="s">
        <v>27</v>
      </c>
      <c r="K242" s="6" t="s">
        <v>534</v>
      </c>
      <c r="L242" s="25"/>
      <c r="M242" s="25" t="s">
        <v>726</v>
      </c>
      <c r="N242" s="6"/>
      <c r="O242" s="6" t="s">
        <v>113</v>
      </c>
      <c r="P242" s="6">
        <v>164</v>
      </c>
      <c r="Q242" s="6">
        <v>50</v>
      </c>
      <c r="R242" s="26">
        <v>85</v>
      </c>
      <c r="S242" s="26"/>
      <c r="T242" s="26"/>
      <c r="U242" s="26"/>
      <c r="V242" s="6" t="s">
        <v>604</v>
      </c>
    </row>
    <row r="243" spans="1:22">
      <c r="A243" s="20">
        <v>233</v>
      </c>
      <c r="B243" s="27">
        <v>46063</v>
      </c>
      <c r="C243" s="6" t="s">
        <v>727</v>
      </c>
      <c r="D243" s="6"/>
      <c r="E243" s="6" t="s">
        <v>40</v>
      </c>
      <c r="F243" s="33">
        <v>18324</v>
      </c>
      <c r="G243" s="21">
        <f>YEAR(F243)</f>
        <v>1950</v>
      </c>
      <c r="H243" s="22">
        <f t="shared" si="9"/>
        <v>76</v>
      </c>
      <c r="I243" s="23" t="s">
        <v>27</v>
      </c>
      <c r="J243" s="20"/>
      <c r="K243" s="6" t="s">
        <v>596</v>
      </c>
      <c r="L243" s="25"/>
      <c r="M243" s="34" t="s">
        <v>728</v>
      </c>
      <c r="N243" s="6"/>
      <c r="O243" s="6"/>
      <c r="P243" s="6">
        <v>172</v>
      </c>
      <c r="Q243" s="6">
        <v>70</v>
      </c>
      <c r="R243" s="26"/>
      <c r="S243" s="26"/>
      <c r="T243" s="26"/>
      <c r="U243" s="26"/>
      <c r="V243" s="6" t="s">
        <v>729</v>
      </c>
    </row>
    <row r="244" spans="1:22">
      <c r="A244" s="17">
        <v>234</v>
      </c>
      <c r="B244" s="27">
        <v>46063</v>
      </c>
      <c r="C244" s="6" t="s">
        <v>730</v>
      </c>
      <c r="D244" s="6"/>
      <c r="E244" s="6" t="s">
        <v>2374</v>
      </c>
      <c r="F244" s="33">
        <v>25634</v>
      </c>
      <c r="G244" s="21">
        <f>YEAR(F244)</f>
        <v>1970</v>
      </c>
      <c r="H244" s="22">
        <f t="shared" si="9"/>
        <v>56</v>
      </c>
      <c r="I244" s="23" t="s">
        <v>27</v>
      </c>
      <c r="J244" s="20"/>
      <c r="K244" s="6" t="s">
        <v>534</v>
      </c>
      <c r="L244" s="25"/>
      <c r="M244" s="25" t="s">
        <v>731</v>
      </c>
      <c r="N244" s="6"/>
      <c r="O244" s="6" t="s">
        <v>143</v>
      </c>
      <c r="P244" s="6">
        <v>165</v>
      </c>
      <c r="Q244" s="6">
        <v>58</v>
      </c>
      <c r="R244" s="26">
        <v>80</v>
      </c>
      <c r="S244" s="26"/>
      <c r="T244" s="26"/>
      <c r="U244" s="26"/>
      <c r="V244" s="6" t="s">
        <v>732</v>
      </c>
    </row>
    <row r="245" spans="1:22">
      <c r="A245" s="20">
        <v>235</v>
      </c>
      <c r="B245" s="27">
        <v>46063</v>
      </c>
      <c r="C245" s="6" t="s">
        <v>733</v>
      </c>
      <c r="D245" s="6"/>
      <c r="E245" s="6" t="s">
        <v>2374</v>
      </c>
      <c r="F245" s="33" t="s">
        <v>734</v>
      </c>
      <c r="G245" s="21" t="str">
        <f>RIGHT(F245,4)</f>
        <v>2001</v>
      </c>
      <c r="H245" s="22">
        <f t="shared" si="9"/>
        <v>25</v>
      </c>
      <c r="I245" s="23"/>
      <c r="J245" s="20" t="s">
        <v>27</v>
      </c>
      <c r="K245" s="6" t="s">
        <v>568</v>
      </c>
      <c r="L245" s="25"/>
      <c r="M245" s="25" t="s">
        <v>735</v>
      </c>
      <c r="N245" s="6"/>
      <c r="O245" s="6"/>
      <c r="P245" s="6">
        <v>165</v>
      </c>
      <c r="Q245" s="6">
        <v>68</v>
      </c>
      <c r="R245" s="26">
        <v>73</v>
      </c>
      <c r="S245" s="26"/>
      <c r="T245" s="26"/>
      <c r="U245" s="26"/>
      <c r="V245" s="6" t="s">
        <v>604</v>
      </c>
    </row>
    <row r="246" spans="1:22">
      <c r="A246" s="17">
        <v>236</v>
      </c>
      <c r="B246" s="27">
        <v>46063</v>
      </c>
      <c r="C246" s="6" t="s">
        <v>736</v>
      </c>
      <c r="D246" s="6"/>
      <c r="E246" s="6" t="s">
        <v>2374</v>
      </c>
      <c r="F246" s="33" t="s">
        <v>737</v>
      </c>
      <c r="G246" s="21" t="str">
        <f>RIGHT(F246,4)</f>
        <v>1975</v>
      </c>
      <c r="H246" s="22">
        <f t="shared" si="9"/>
        <v>51</v>
      </c>
      <c r="I246" s="23"/>
      <c r="J246" s="20" t="s">
        <v>27</v>
      </c>
      <c r="K246" s="6" t="s">
        <v>534</v>
      </c>
      <c r="L246" s="25"/>
      <c r="M246" s="25" t="s">
        <v>738</v>
      </c>
      <c r="N246" s="6"/>
      <c r="O246" s="6" t="s">
        <v>209</v>
      </c>
      <c r="P246" s="6">
        <v>155</v>
      </c>
      <c r="Q246" s="6">
        <v>49</v>
      </c>
      <c r="R246" s="26">
        <v>70</v>
      </c>
      <c r="S246" s="26"/>
      <c r="T246" s="26"/>
      <c r="U246" s="26"/>
      <c r="V246" s="6" t="s">
        <v>739</v>
      </c>
    </row>
    <row r="247" spans="1:22">
      <c r="A247" s="20">
        <v>237</v>
      </c>
      <c r="B247" s="27">
        <v>46063</v>
      </c>
      <c r="C247" s="6" t="s">
        <v>740</v>
      </c>
      <c r="D247" s="6"/>
      <c r="E247" s="6" t="s">
        <v>2374</v>
      </c>
      <c r="F247" s="33" t="s">
        <v>741</v>
      </c>
      <c r="G247" s="21" t="str">
        <f>RIGHT(F247,4)</f>
        <v>1995</v>
      </c>
      <c r="H247" s="22">
        <f t="shared" si="9"/>
        <v>31</v>
      </c>
      <c r="I247" s="23"/>
      <c r="J247" s="20" t="s">
        <v>27</v>
      </c>
      <c r="K247" s="6" t="s">
        <v>534</v>
      </c>
      <c r="L247" s="25"/>
      <c r="M247" s="25" t="s">
        <v>742</v>
      </c>
      <c r="N247" s="6"/>
      <c r="O247" s="6" t="s">
        <v>504</v>
      </c>
      <c r="P247" s="6">
        <v>155</v>
      </c>
      <c r="Q247" s="6">
        <v>52</v>
      </c>
      <c r="R247" s="26">
        <v>70</v>
      </c>
      <c r="S247" s="26"/>
      <c r="T247" s="26"/>
      <c r="U247" s="26"/>
      <c r="V247" s="6" t="s">
        <v>604</v>
      </c>
    </row>
    <row r="248" spans="1:22">
      <c r="A248" s="17">
        <v>238</v>
      </c>
      <c r="B248" s="27">
        <v>46063</v>
      </c>
      <c r="C248" s="6" t="s">
        <v>743</v>
      </c>
      <c r="D248" s="6"/>
      <c r="E248" s="6" t="s">
        <v>2374</v>
      </c>
      <c r="F248" s="33">
        <v>33278</v>
      </c>
      <c r="G248" s="21">
        <f>YEAR(F248)</f>
        <v>1991</v>
      </c>
      <c r="H248" s="22">
        <f t="shared" si="9"/>
        <v>35</v>
      </c>
      <c r="I248" s="23"/>
      <c r="J248" s="20" t="s">
        <v>27</v>
      </c>
      <c r="K248" s="6" t="s">
        <v>534</v>
      </c>
      <c r="L248" s="25"/>
      <c r="M248" s="25" t="s">
        <v>744</v>
      </c>
      <c r="N248" s="6"/>
      <c r="O248" s="6" t="s">
        <v>309</v>
      </c>
      <c r="P248" s="6">
        <v>157</v>
      </c>
      <c r="Q248" s="6">
        <v>60</v>
      </c>
      <c r="R248" s="26">
        <v>75</v>
      </c>
      <c r="S248" s="26"/>
      <c r="T248" s="26"/>
      <c r="U248" s="26"/>
      <c r="V248" s="6" t="s">
        <v>604</v>
      </c>
    </row>
    <row r="249" spans="1:22">
      <c r="A249" s="20">
        <v>239</v>
      </c>
      <c r="B249" s="27">
        <v>46063</v>
      </c>
      <c r="C249" s="6" t="s">
        <v>745</v>
      </c>
      <c r="D249" s="6"/>
      <c r="E249" s="6" t="s">
        <v>2374</v>
      </c>
      <c r="F249" s="33">
        <v>37052</v>
      </c>
      <c r="G249" s="21">
        <f>YEAR(F249)</f>
        <v>2001</v>
      </c>
      <c r="H249" s="22">
        <f t="shared" si="9"/>
        <v>25</v>
      </c>
      <c r="I249" s="23" t="s">
        <v>27</v>
      </c>
      <c r="J249" s="20"/>
      <c r="K249" s="6" t="s">
        <v>568</v>
      </c>
      <c r="L249" s="25"/>
      <c r="M249" s="25" t="s">
        <v>746</v>
      </c>
      <c r="N249" s="6"/>
      <c r="O249" s="6" t="s">
        <v>630</v>
      </c>
      <c r="P249" s="6">
        <v>170</v>
      </c>
      <c r="Q249" s="6">
        <v>52</v>
      </c>
      <c r="R249" s="26">
        <v>75</v>
      </c>
      <c r="S249" s="26"/>
      <c r="T249" s="26"/>
      <c r="U249" s="26"/>
      <c r="V249" s="6" t="s">
        <v>747</v>
      </c>
    </row>
    <row r="250" spans="1:22">
      <c r="A250" s="17">
        <v>240</v>
      </c>
      <c r="B250" s="27">
        <v>46063</v>
      </c>
      <c r="C250" s="6" t="s">
        <v>748</v>
      </c>
      <c r="D250" s="6"/>
      <c r="E250" s="6" t="s">
        <v>2374</v>
      </c>
      <c r="F250" s="33" t="s">
        <v>749</v>
      </c>
      <c r="G250" s="21" t="str">
        <f>RIGHT(F250,4)</f>
        <v>1993</v>
      </c>
      <c r="H250" s="22">
        <f t="shared" si="9"/>
        <v>33</v>
      </c>
      <c r="I250" s="23"/>
      <c r="J250" s="20" t="s">
        <v>27</v>
      </c>
      <c r="K250" s="6" t="s">
        <v>534</v>
      </c>
      <c r="L250" s="25"/>
      <c r="M250" s="25" t="s">
        <v>750</v>
      </c>
      <c r="N250" s="6"/>
      <c r="O250" s="6" t="s">
        <v>751</v>
      </c>
      <c r="P250" s="6">
        <v>160</v>
      </c>
      <c r="Q250" s="6">
        <v>55</v>
      </c>
      <c r="R250" s="26">
        <v>74</v>
      </c>
      <c r="S250" s="26"/>
      <c r="T250" s="26"/>
      <c r="U250" s="26"/>
      <c r="V250" s="6" t="s">
        <v>604</v>
      </c>
    </row>
    <row r="251" spans="1:22">
      <c r="A251" s="20">
        <v>241</v>
      </c>
      <c r="B251" s="27">
        <v>46063</v>
      </c>
      <c r="C251" s="6" t="s">
        <v>752</v>
      </c>
      <c r="D251" s="6"/>
      <c r="E251" s="6" t="s">
        <v>2374</v>
      </c>
      <c r="F251" s="33" t="s">
        <v>753</v>
      </c>
      <c r="G251" s="21" t="str">
        <f>RIGHT(F251,4)</f>
        <v>1972</v>
      </c>
      <c r="H251" s="22">
        <f t="shared" si="9"/>
        <v>54</v>
      </c>
      <c r="I251" s="23"/>
      <c r="J251" s="20" t="s">
        <v>27</v>
      </c>
      <c r="K251" s="6" t="s">
        <v>534</v>
      </c>
      <c r="L251" s="25"/>
      <c r="M251" s="25" t="s">
        <v>754</v>
      </c>
      <c r="N251" s="6"/>
      <c r="O251" s="6" t="s">
        <v>755</v>
      </c>
      <c r="P251" s="6">
        <v>163</v>
      </c>
      <c r="Q251" s="6">
        <v>62</v>
      </c>
      <c r="R251" s="26">
        <v>95</v>
      </c>
      <c r="S251" s="26"/>
      <c r="T251" s="26"/>
      <c r="U251" s="26"/>
      <c r="V251" s="6" t="s">
        <v>604</v>
      </c>
    </row>
    <row r="252" spans="1:22">
      <c r="A252" s="17">
        <v>242</v>
      </c>
      <c r="B252" s="27">
        <v>46063</v>
      </c>
      <c r="C252" s="6" t="s">
        <v>756</v>
      </c>
      <c r="D252" s="6"/>
      <c r="E252" s="6" t="s">
        <v>2374</v>
      </c>
      <c r="F252" s="33">
        <v>34853</v>
      </c>
      <c r="G252" s="21">
        <f>YEAR(F252)</f>
        <v>1995</v>
      </c>
      <c r="H252" s="22">
        <f t="shared" si="9"/>
        <v>31</v>
      </c>
      <c r="I252" s="23"/>
      <c r="J252" s="20" t="s">
        <v>27</v>
      </c>
      <c r="K252" s="6" t="s">
        <v>534</v>
      </c>
      <c r="L252" s="25"/>
      <c r="M252" s="25" t="s">
        <v>757</v>
      </c>
      <c r="N252" s="6"/>
      <c r="O252" s="6" t="s">
        <v>258</v>
      </c>
      <c r="P252" s="6">
        <v>153</v>
      </c>
      <c r="Q252" s="6">
        <v>45</v>
      </c>
      <c r="R252" s="26">
        <v>75</v>
      </c>
      <c r="S252" s="26"/>
      <c r="T252" s="26"/>
      <c r="U252" s="26"/>
      <c r="V252" s="6" t="s">
        <v>758</v>
      </c>
    </row>
    <row r="253" spans="1:22">
      <c r="A253" s="20">
        <v>243</v>
      </c>
      <c r="B253" s="27">
        <v>46063</v>
      </c>
      <c r="C253" s="6" t="s">
        <v>759</v>
      </c>
      <c r="D253" s="6"/>
      <c r="E253" s="6" t="s">
        <v>2374</v>
      </c>
      <c r="F253" s="33" t="s">
        <v>760</v>
      </c>
      <c r="G253" s="21" t="str">
        <f>RIGHT(F253,4)</f>
        <v>1979</v>
      </c>
      <c r="H253" s="22">
        <f t="shared" si="9"/>
        <v>47</v>
      </c>
      <c r="I253" s="23"/>
      <c r="J253" s="20" t="s">
        <v>27</v>
      </c>
      <c r="K253" s="6" t="s">
        <v>534</v>
      </c>
      <c r="L253" s="25"/>
      <c r="M253" s="25" t="s">
        <v>761</v>
      </c>
      <c r="N253" s="6"/>
      <c r="O253" s="6" t="s">
        <v>762</v>
      </c>
      <c r="P253" s="6">
        <v>150</v>
      </c>
      <c r="Q253" s="6">
        <v>50</v>
      </c>
      <c r="R253" s="26">
        <v>85</v>
      </c>
      <c r="S253" s="26"/>
      <c r="T253" s="26"/>
      <c r="U253" s="26"/>
      <c r="V253" s="6" t="s">
        <v>763</v>
      </c>
    </row>
    <row r="254" spans="1:22">
      <c r="A254" s="17">
        <v>244</v>
      </c>
      <c r="B254" s="27">
        <v>46063</v>
      </c>
      <c r="C254" s="6" t="s">
        <v>764</v>
      </c>
      <c r="D254" s="6"/>
      <c r="E254" s="6" t="s">
        <v>40</v>
      </c>
      <c r="F254" s="33">
        <v>16355</v>
      </c>
      <c r="G254" s="21">
        <f>YEAR(F254)</f>
        <v>1944</v>
      </c>
      <c r="H254" s="22">
        <f t="shared" si="9"/>
        <v>82</v>
      </c>
      <c r="I254" s="23"/>
      <c r="J254" s="20" t="s">
        <v>27</v>
      </c>
      <c r="K254" s="6" t="s">
        <v>534</v>
      </c>
      <c r="L254" s="25"/>
      <c r="M254" s="25" t="s">
        <v>765</v>
      </c>
      <c r="N254" s="6"/>
      <c r="O254" s="6" t="s">
        <v>34</v>
      </c>
      <c r="P254" s="6">
        <v>157</v>
      </c>
      <c r="Q254" s="6">
        <v>42</v>
      </c>
      <c r="R254" s="26">
        <v>80</v>
      </c>
      <c r="S254" s="26"/>
      <c r="T254" s="26"/>
      <c r="U254" s="26"/>
      <c r="V254" s="6" t="s">
        <v>766</v>
      </c>
    </row>
    <row r="255" spans="1:22">
      <c r="A255" s="20">
        <v>245</v>
      </c>
      <c r="B255" s="27">
        <v>46063</v>
      </c>
      <c r="C255" s="6" t="s">
        <v>767</v>
      </c>
      <c r="D255" s="6"/>
      <c r="E255" s="6" t="s">
        <v>2374</v>
      </c>
      <c r="F255" s="33" t="s">
        <v>768</v>
      </c>
      <c r="G255" s="21" t="str">
        <f>RIGHT(F255,4)</f>
        <v>1978</v>
      </c>
      <c r="H255" s="22">
        <f t="shared" si="9"/>
        <v>48</v>
      </c>
      <c r="I255" s="23"/>
      <c r="J255" s="20" t="s">
        <v>27</v>
      </c>
      <c r="K255" s="6" t="s">
        <v>534</v>
      </c>
      <c r="L255" s="25"/>
      <c r="M255" s="25" t="s">
        <v>769</v>
      </c>
      <c r="N255" s="6"/>
      <c r="O255" s="6" t="s">
        <v>87</v>
      </c>
      <c r="P255" s="6">
        <v>155</v>
      </c>
      <c r="Q255" s="6">
        <v>58</v>
      </c>
      <c r="R255" s="26">
        <v>80</v>
      </c>
      <c r="S255" s="26"/>
      <c r="T255" s="26"/>
      <c r="U255" s="26"/>
      <c r="V255" s="6" t="s">
        <v>604</v>
      </c>
    </row>
    <row r="256" spans="1:22">
      <c r="A256" s="17">
        <v>246</v>
      </c>
      <c r="B256" s="27">
        <v>46063</v>
      </c>
      <c r="C256" s="6" t="s">
        <v>770</v>
      </c>
      <c r="D256" s="6"/>
      <c r="E256" s="6" t="s">
        <v>40</v>
      </c>
      <c r="F256" s="33">
        <v>13217</v>
      </c>
      <c r="G256" s="21">
        <f t="shared" ref="G256:G265" si="10">YEAR(F256)</f>
        <v>1936</v>
      </c>
      <c r="H256" s="22">
        <f t="shared" si="9"/>
        <v>90</v>
      </c>
      <c r="I256" s="23"/>
      <c r="J256" s="20" t="s">
        <v>27</v>
      </c>
      <c r="K256" s="6" t="s">
        <v>534</v>
      </c>
      <c r="L256" s="25"/>
      <c r="M256" s="25" t="s">
        <v>771</v>
      </c>
      <c r="N256" s="6"/>
      <c r="O256" s="6" t="s">
        <v>104</v>
      </c>
      <c r="P256" s="6">
        <v>150</v>
      </c>
      <c r="Q256" s="6">
        <v>45</v>
      </c>
      <c r="R256" s="26">
        <v>80</v>
      </c>
      <c r="S256" s="26"/>
      <c r="T256" s="26"/>
      <c r="U256" s="26"/>
      <c r="V256" s="6" t="s">
        <v>772</v>
      </c>
    </row>
    <row r="257" spans="1:22">
      <c r="A257" s="20">
        <v>247</v>
      </c>
      <c r="B257" s="27">
        <v>46063</v>
      </c>
      <c r="C257" s="6" t="s">
        <v>773</v>
      </c>
      <c r="D257" s="6"/>
      <c r="E257" s="6" t="s">
        <v>40</v>
      </c>
      <c r="F257" s="33">
        <v>16711</v>
      </c>
      <c r="G257" s="21">
        <f t="shared" si="10"/>
        <v>1945</v>
      </c>
      <c r="H257" s="22">
        <f t="shared" si="9"/>
        <v>81</v>
      </c>
      <c r="I257" s="23"/>
      <c r="J257" s="20" t="s">
        <v>27</v>
      </c>
      <c r="K257" s="6" t="s">
        <v>534</v>
      </c>
      <c r="L257" s="25"/>
      <c r="M257" s="25" t="s">
        <v>774</v>
      </c>
      <c r="N257" s="6"/>
      <c r="O257" s="6" t="s">
        <v>60</v>
      </c>
      <c r="P257" s="6">
        <v>168</v>
      </c>
      <c r="Q257" s="6">
        <v>50</v>
      </c>
      <c r="R257" s="26">
        <v>87</v>
      </c>
      <c r="S257" s="26"/>
      <c r="T257" s="26"/>
      <c r="U257" s="26"/>
      <c r="V257" s="6" t="s">
        <v>775</v>
      </c>
    </row>
    <row r="258" spans="1:22">
      <c r="A258" s="17">
        <v>248</v>
      </c>
      <c r="B258" s="27">
        <v>46063</v>
      </c>
      <c r="C258" s="6" t="s">
        <v>776</v>
      </c>
      <c r="D258" s="6"/>
      <c r="E258" s="6" t="s">
        <v>40</v>
      </c>
      <c r="F258" s="33">
        <v>14611</v>
      </c>
      <c r="G258" s="21">
        <f t="shared" si="10"/>
        <v>1940</v>
      </c>
      <c r="H258" s="22">
        <f t="shared" si="9"/>
        <v>86</v>
      </c>
      <c r="I258" s="23"/>
      <c r="J258" s="20" t="s">
        <v>27</v>
      </c>
      <c r="K258" s="6" t="s">
        <v>534</v>
      </c>
      <c r="L258" s="25"/>
      <c r="M258" s="25" t="s">
        <v>777</v>
      </c>
      <c r="N258" s="6"/>
      <c r="O258" s="6" t="s">
        <v>60</v>
      </c>
      <c r="P258" s="6">
        <v>148</v>
      </c>
      <c r="Q258" s="6">
        <v>42</v>
      </c>
      <c r="R258" s="26">
        <v>77</v>
      </c>
      <c r="S258" s="26"/>
      <c r="T258" s="26"/>
      <c r="U258" s="26"/>
      <c r="V258" s="6" t="s">
        <v>778</v>
      </c>
    </row>
    <row r="259" spans="1:22">
      <c r="A259" s="20">
        <v>249</v>
      </c>
      <c r="B259" s="27">
        <v>46063</v>
      </c>
      <c r="C259" s="6" t="s">
        <v>779</v>
      </c>
      <c r="D259" s="6"/>
      <c r="E259" s="6" t="s">
        <v>40</v>
      </c>
      <c r="F259" s="33">
        <v>22741</v>
      </c>
      <c r="G259" s="21">
        <f t="shared" si="10"/>
        <v>1962</v>
      </c>
      <c r="H259" s="22">
        <f t="shared" si="9"/>
        <v>64</v>
      </c>
      <c r="I259" s="23" t="s">
        <v>27</v>
      </c>
      <c r="J259" s="20"/>
      <c r="K259" s="6" t="s">
        <v>534</v>
      </c>
      <c r="L259" s="25"/>
      <c r="M259" s="25" t="s">
        <v>780</v>
      </c>
      <c r="N259" s="6"/>
      <c r="O259" s="6" t="s">
        <v>333</v>
      </c>
      <c r="P259" s="6">
        <v>170</v>
      </c>
      <c r="Q259" s="6">
        <v>60</v>
      </c>
      <c r="R259" s="26">
        <v>80</v>
      </c>
      <c r="S259" s="26"/>
      <c r="T259" s="26"/>
      <c r="U259" s="26"/>
      <c r="V259" s="6" t="s">
        <v>781</v>
      </c>
    </row>
    <row r="260" spans="1:22">
      <c r="A260" s="17">
        <v>250</v>
      </c>
      <c r="B260" s="27">
        <v>46063</v>
      </c>
      <c r="C260" s="6" t="s">
        <v>782</v>
      </c>
      <c r="D260" s="6"/>
      <c r="E260" s="6" t="s">
        <v>2374</v>
      </c>
      <c r="F260" s="33">
        <v>30355</v>
      </c>
      <c r="G260" s="21">
        <f t="shared" si="10"/>
        <v>1983</v>
      </c>
      <c r="H260" s="22">
        <f t="shared" si="9"/>
        <v>43</v>
      </c>
      <c r="I260" s="23"/>
      <c r="J260" s="20" t="s">
        <v>27</v>
      </c>
      <c r="K260" s="6" t="s">
        <v>596</v>
      </c>
      <c r="L260" s="25"/>
      <c r="M260" s="25" t="s">
        <v>783</v>
      </c>
      <c r="N260" s="6"/>
      <c r="O260" s="6" t="s">
        <v>784</v>
      </c>
      <c r="P260" s="6">
        <v>162</v>
      </c>
      <c r="Q260" s="6">
        <v>56</v>
      </c>
      <c r="R260" s="26">
        <v>76</v>
      </c>
      <c r="S260" s="26"/>
      <c r="T260" s="26"/>
      <c r="U260" s="26"/>
      <c r="V260" s="6" t="s">
        <v>785</v>
      </c>
    </row>
    <row r="261" spans="1:22">
      <c r="A261" s="20">
        <v>251</v>
      </c>
      <c r="B261" s="35">
        <v>46063</v>
      </c>
      <c r="C261" s="36" t="s">
        <v>786</v>
      </c>
      <c r="D261" s="36"/>
      <c r="E261" s="6" t="s">
        <v>2374</v>
      </c>
      <c r="F261" s="37">
        <v>25332</v>
      </c>
      <c r="G261" s="21">
        <f t="shared" si="10"/>
        <v>1969</v>
      </c>
      <c r="H261" s="38">
        <f t="shared" si="9"/>
        <v>57</v>
      </c>
      <c r="I261" s="39" t="s">
        <v>27</v>
      </c>
      <c r="J261" s="40"/>
      <c r="K261" s="36"/>
      <c r="L261" s="41"/>
      <c r="M261" s="41" t="s">
        <v>787</v>
      </c>
      <c r="N261" s="36"/>
      <c r="O261" s="36" t="s">
        <v>87</v>
      </c>
      <c r="P261" s="36"/>
      <c r="Q261" s="36"/>
      <c r="R261" s="42">
        <v>75</v>
      </c>
      <c r="S261" s="42"/>
      <c r="T261" s="42"/>
      <c r="U261" s="42"/>
      <c r="V261" s="36" t="s">
        <v>788</v>
      </c>
    </row>
    <row r="262" spans="1:22">
      <c r="A262" s="17">
        <v>252</v>
      </c>
      <c r="B262" s="27">
        <v>46063</v>
      </c>
      <c r="C262" s="6" t="s">
        <v>789</v>
      </c>
      <c r="D262" s="6"/>
      <c r="E262" s="6" t="s">
        <v>40</v>
      </c>
      <c r="F262" s="33">
        <v>12936</v>
      </c>
      <c r="G262" s="21">
        <f t="shared" si="10"/>
        <v>1935</v>
      </c>
      <c r="H262" s="22">
        <f t="shared" si="9"/>
        <v>91</v>
      </c>
      <c r="I262" s="23" t="s">
        <v>27</v>
      </c>
      <c r="J262" s="20"/>
      <c r="K262" s="6" t="s">
        <v>596</v>
      </c>
      <c r="L262" s="25"/>
      <c r="M262" s="25" t="s">
        <v>790</v>
      </c>
      <c r="N262" s="6"/>
      <c r="O262" s="6" t="s">
        <v>104</v>
      </c>
      <c r="P262" s="6">
        <v>150</v>
      </c>
      <c r="Q262" s="6">
        <v>51</v>
      </c>
      <c r="R262" s="26">
        <v>75</v>
      </c>
      <c r="S262" s="26"/>
      <c r="T262" s="26"/>
      <c r="U262" s="26"/>
      <c r="V262" s="6" t="s">
        <v>791</v>
      </c>
    </row>
    <row r="263" spans="1:22">
      <c r="A263" s="20">
        <v>253</v>
      </c>
      <c r="B263" s="27">
        <v>46063</v>
      </c>
      <c r="C263" s="6" t="s">
        <v>792</v>
      </c>
      <c r="D263" s="6"/>
      <c r="E263" s="6" t="s">
        <v>2374</v>
      </c>
      <c r="F263" s="33">
        <v>25842</v>
      </c>
      <c r="G263" s="21">
        <f t="shared" si="10"/>
        <v>1970</v>
      </c>
      <c r="H263" s="22">
        <f t="shared" si="9"/>
        <v>56</v>
      </c>
      <c r="I263" s="23" t="s">
        <v>27</v>
      </c>
      <c r="J263" s="20"/>
      <c r="K263" s="6" t="s">
        <v>596</v>
      </c>
      <c r="L263" s="25"/>
      <c r="M263" s="25" t="s">
        <v>793</v>
      </c>
      <c r="N263" s="6"/>
      <c r="O263" s="6" t="s">
        <v>34</v>
      </c>
      <c r="P263" s="6">
        <v>167</v>
      </c>
      <c r="Q263" s="6">
        <v>54</v>
      </c>
      <c r="R263" s="26">
        <v>82</v>
      </c>
      <c r="S263" s="26"/>
      <c r="T263" s="26"/>
      <c r="U263" s="26"/>
      <c r="V263" s="6" t="s">
        <v>604</v>
      </c>
    </row>
    <row r="264" spans="1:22">
      <c r="A264" s="17">
        <v>254</v>
      </c>
      <c r="B264" s="27">
        <v>46063</v>
      </c>
      <c r="C264" s="6" t="s">
        <v>794</v>
      </c>
      <c r="D264" s="6"/>
      <c r="E264" s="6" t="s">
        <v>40</v>
      </c>
      <c r="F264" s="33">
        <v>20002</v>
      </c>
      <c r="G264" s="21">
        <f t="shared" si="10"/>
        <v>1954</v>
      </c>
      <c r="H264" s="22">
        <f t="shared" si="9"/>
        <v>72</v>
      </c>
      <c r="I264" s="23"/>
      <c r="J264" s="20" t="s">
        <v>27</v>
      </c>
      <c r="K264" s="6" t="s">
        <v>568</v>
      </c>
      <c r="L264" s="25"/>
      <c r="M264" s="25" t="s">
        <v>795</v>
      </c>
      <c r="N264" s="6"/>
      <c r="O264" s="6" t="s">
        <v>143</v>
      </c>
      <c r="P264" s="6">
        <v>155</v>
      </c>
      <c r="Q264" s="6">
        <v>62</v>
      </c>
      <c r="R264" s="26">
        <v>80</v>
      </c>
      <c r="S264" s="26"/>
      <c r="T264" s="26"/>
      <c r="U264" s="26"/>
      <c r="V264" s="6" t="s">
        <v>796</v>
      </c>
    </row>
    <row r="265" spans="1:22">
      <c r="A265" s="20">
        <v>255</v>
      </c>
      <c r="B265" s="27">
        <v>46063</v>
      </c>
      <c r="C265" s="6" t="s">
        <v>797</v>
      </c>
      <c r="D265" s="6"/>
      <c r="E265" s="6" t="s">
        <v>2374</v>
      </c>
      <c r="F265" s="33">
        <v>27030</v>
      </c>
      <c r="G265" s="21">
        <f t="shared" si="10"/>
        <v>1974</v>
      </c>
      <c r="H265" s="22">
        <f t="shared" si="9"/>
        <v>52</v>
      </c>
      <c r="I265" s="23"/>
      <c r="J265" s="20" t="s">
        <v>27</v>
      </c>
      <c r="K265" s="6"/>
      <c r="L265" s="25"/>
      <c r="M265" s="25" t="s">
        <v>798</v>
      </c>
      <c r="N265" s="6"/>
      <c r="O265" s="6" t="s">
        <v>799</v>
      </c>
      <c r="P265" s="6">
        <v>158</v>
      </c>
      <c r="Q265" s="6">
        <v>59</v>
      </c>
      <c r="R265" s="26">
        <v>80</v>
      </c>
      <c r="S265" s="26"/>
      <c r="T265" s="26"/>
      <c r="U265" s="26"/>
      <c r="V265" s="6" t="s">
        <v>800</v>
      </c>
    </row>
    <row r="266" spans="1:22">
      <c r="A266" s="17">
        <v>256</v>
      </c>
      <c r="B266" s="27">
        <v>46063</v>
      </c>
      <c r="C266" s="6" t="s">
        <v>801</v>
      </c>
      <c r="D266" s="6"/>
      <c r="E266" s="6" t="s">
        <v>2374</v>
      </c>
      <c r="F266" s="33" t="s">
        <v>802</v>
      </c>
      <c r="G266" s="21" t="str">
        <f>RIGHT(F266,4)</f>
        <v>1972</v>
      </c>
      <c r="H266" s="22">
        <f t="shared" si="9"/>
        <v>54</v>
      </c>
      <c r="I266" s="23"/>
      <c r="J266" s="20" t="s">
        <v>27</v>
      </c>
      <c r="K266" s="6" t="s">
        <v>534</v>
      </c>
      <c r="L266" s="25"/>
      <c r="M266" s="25" t="s">
        <v>803</v>
      </c>
      <c r="N266" s="6"/>
      <c r="O266" s="6" t="s">
        <v>143</v>
      </c>
      <c r="P266" s="6">
        <v>150</v>
      </c>
      <c r="Q266" s="6">
        <v>55</v>
      </c>
      <c r="R266" s="26">
        <v>80</v>
      </c>
      <c r="S266" s="26"/>
      <c r="T266" s="26"/>
      <c r="U266" s="26"/>
      <c r="V266" s="6" t="s">
        <v>804</v>
      </c>
    </row>
    <row r="267" spans="1:22">
      <c r="A267" s="20">
        <v>257</v>
      </c>
      <c r="B267" s="27">
        <v>46063</v>
      </c>
      <c r="C267" s="6" t="s">
        <v>805</v>
      </c>
      <c r="D267" s="6"/>
      <c r="E267" s="6" t="s">
        <v>2374</v>
      </c>
      <c r="F267" s="33" t="s">
        <v>806</v>
      </c>
      <c r="G267" s="21" t="str">
        <f>RIGHT(F267,4)</f>
        <v>1977</v>
      </c>
      <c r="H267" s="22">
        <f t="shared" ref="H267:H330" si="11">2026-G267</f>
        <v>49</v>
      </c>
      <c r="I267" s="23"/>
      <c r="J267" s="20" t="s">
        <v>27</v>
      </c>
      <c r="K267" s="6" t="s">
        <v>596</v>
      </c>
      <c r="L267" s="25"/>
      <c r="M267" s="25" t="s">
        <v>807</v>
      </c>
      <c r="N267" s="6"/>
      <c r="O267" s="6" t="s">
        <v>34</v>
      </c>
      <c r="P267" s="6">
        <v>160</v>
      </c>
      <c r="Q267" s="6">
        <v>68</v>
      </c>
      <c r="R267" s="26">
        <v>75</v>
      </c>
      <c r="S267" s="26"/>
      <c r="T267" s="26"/>
      <c r="U267" s="26"/>
      <c r="V267" s="6" t="s">
        <v>747</v>
      </c>
    </row>
    <row r="268" spans="1:22">
      <c r="A268" s="17">
        <v>258</v>
      </c>
      <c r="B268" s="27">
        <v>46063</v>
      </c>
      <c r="C268" s="6" t="s">
        <v>808</v>
      </c>
      <c r="D268" s="6"/>
      <c r="E268" s="6" t="s">
        <v>2374</v>
      </c>
      <c r="F268" s="33" t="s">
        <v>809</v>
      </c>
      <c r="G268" s="21" t="str">
        <f>RIGHT(F268,4)</f>
        <v>1982</v>
      </c>
      <c r="H268" s="22">
        <f t="shared" si="11"/>
        <v>44</v>
      </c>
      <c r="I268" s="23" t="s">
        <v>27</v>
      </c>
      <c r="J268" s="20"/>
      <c r="K268" s="6" t="s">
        <v>568</v>
      </c>
      <c r="L268" s="25"/>
      <c r="M268" s="25" t="s">
        <v>810</v>
      </c>
      <c r="N268" s="6"/>
      <c r="O268" s="6" t="s">
        <v>113</v>
      </c>
      <c r="P268" s="6">
        <v>170</v>
      </c>
      <c r="Q268" s="6">
        <v>57</v>
      </c>
      <c r="R268" s="26">
        <v>76</v>
      </c>
      <c r="S268" s="26"/>
      <c r="T268" s="26"/>
      <c r="U268" s="26"/>
      <c r="V268" s="6" t="s">
        <v>747</v>
      </c>
    </row>
    <row r="269" spans="1:22">
      <c r="A269" s="20">
        <v>259</v>
      </c>
      <c r="B269" s="27">
        <v>46063</v>
      </c>
      <c r="C269" s="6" t="s">
        <v>811</v>
      </c>
      <c r="D269" s="6"/>
      <c r="E269" s="6" t="s">
        <v>40</v>
      </c>
      <c r="F269" s="33">
        <v>21438</v>
      </c>
      <c r="G269" s="21">
        <f>YEAR(F269)</f>
        <v>1958</v>
      </c>
      <c r="H269" s="22">
        <f t="shared" si="11"/>
        <v>68</v>
      </c>
      <c r="I269" s="23"/>
      <c r="J269" s="20" t="s">
        <v>27</v>
      </c>
      <c r="K269" s="6" t="s">
        <v>534</v>
      </c>
      <c r="L269" s="25"/>
      <c r="M269" s="25" t="s">
        <v>812</v>
      </c>
      <c r="N269" s="6"/>
      <c r="O269" s="6" t="s">
        <v>813</v>
      </c>
      <c r="P269" s="6">
        <v>153</v>
      </c>
      <c r="Q269" s="6">
        <v>50</v>
      </c>
      <c r="R269" s="26">
        <v>85</v>
      </c>
      <c r="S269" s="26"/>
      <c r="T269" s="26"/>
      <c r="U269" s="26"/>
      <c r="V269" s="6" t="s">
        <v>814</v>
      </c>
    </row>
    <row r="270" spans="1:22">
      <c r="A270" s="17">
        <v>260</v>
      </c>
      <c r="B270" s="27">
        <v>46063</v>
      </c>
      <c r="C270" s="6" t="s">
        <v>815</v>
      </c>
      <c r="D270" s="6"/>
      <c r="E270" s="6" t="s">
        <v>40</v>
      </c>
      <c r="F270" s="33" t="s">
        <v>816</v>
      </c>
      <c r="G270" s="21" t="str">
        <f>RIGHT(F270,4)</f>
        <v>1957</v>
      </c>
      <c r="H270" s="22">
        <f t="shared" si="11"/>
        <v>69</v>
      </c>
      <c r="I270" s="23" t="s">
        <v>27</v>
      </c>
      <c r="J270" s="20"/>
      <c r="K270" s="6"/>
      <c r="L270" s="25"/>
      <c r="M270" s="25" t="s">
        <v>817</v>
      </c>
      <c r="N270" s="6"/>
      <c r="O270" s="6" t="s">
        <v>143</v>
      </c>
      <c r="P270" s="6">
        <v>160</v>
      </c>
      <c r="Q270" s="6">
        <v>66</v>
      </c>
      <c r="R270" s="26">
        <v>70</v>
      </c>
      <c r="S270" s="26"/>
      <c r="T270" s="26"/>
      <c r="U270" s="26"/>
      <c r="V270" s="6" t="s">
        <v>818</v>
      </c>
    </row>
    <row r="271" spans="1:22">
      <c r="A271" s="20">
        <v>261</v>
      </c>
      <c r="B271" s="27">
        <v>46063</v>
      </c>
      <c r="C271" s="6" t="s">
        <v>819</v>
      </c>
      <c r="D271" s="6"/>
      <c r="E271" s="6" t="s">
        <v>40</v>
      </c>
      <c r="F271" s="33">
        <v>18233</v>
      </c>
      <c r="G271" s="21">
        <f>YEAR(F271)</f>
        <v>1949</v>
      </c>
      <c r="H271" s="22">
        <f t="shared" si="11"/>
        <v>77</v>
      </c>
      <c r="I271" s="23" t="s">
        <v>27</v>
      </c>
      <c r="J271" s="20"/>
      <c r="K271" s="6" t="s">
        <v>568</v>
      </c>
      <c r="L271" s="25"/>
      <c r="M271" s="25" t="s">
        <v>820</v>
      </c>
      <c r="N271" s="6"/>
      <c r="O271" s="6" t="s">
        <v>288</v>
      </c>
      <c r="P271" s="6">
        <v>165</v>
      </c>
      <c r="Q271" s="6">
        <v>56</v>
      </c>
      <c r="R271" s="26">
        <v>72</v>
      </c>
      <c r="S271" s="26"/>
      <c r="T271" s="26"/>
      <c r="U271" s="26"/>
      <c r="V271" s="6" t="s">
        <v>821</v>
      </c>
    </row>
    <row r="272" spans="1:22">
      <c r="A272" s="17">
        <v>262</v>
      </c>
      <c r="B272" s="27">
        <v>46063</v>
      </c>
      <c r="C272" s="6" t="s">
        <v>822</v>
      </c>
      <c r="D272" s="6"/>
      <c r="E272" s="6" t="s">
        <v>40</v>
      </c>
      <c r="F272" s="33">
        <v>15403</v>
      </c>
      <c r="G272" s="21">
        <f>YEAR(F272)</f>
        <v>1942</v>
      </c>
      <c r="H272" s="22">
        <f t="shared" si="11"/>
        <v>84</v>
      </c>
      <c r="I272" s="23" t="s">
        <v>27</v>
      </c>
      <c r="J272" s="20"/>
      <c r="K272" s="6" t="s">
        <v>568</v>
      </c>
      <c r="L272" s="25"/>
      <c r="M272" s="25" t="s">
        <v>823</v>
      </c>
      <c r="N272" s="6"/>
      <c r="O272" s="6" t="s">
        <v>288</v>
      </c>
      <c r="P272" s="6">
        <v>150</v>
      </c>
      <c r="Q272" s="6">
        <v>48</v>
      </c>
      <c r="R272" s="26">
        <v>80</v>
      </c>
      <c r="S272" s="26"/>
      <c r="T272" s="26"/>
      <c r="U272" s="26"/>
      <c r="V272" s="6" t="s">
        <v>824</v>
      </c>
    </row>
    <row r="273" spans="1:22">
      <c r="A273" s="20">
        <v>263</v>
      </c>
      <c r="B273" s="27">
        <v>46063</v>
      </c>
      <c r="C273" s="6" t="s">
        <v>825</v>
      </c>
      <c r="D273" s="6"/>
      <c r="E273" s="6" t="s">
        <v>40</v>
      </c>
      <c r="F273" s="33">
        <v>16438</v>
      </c>
      <c r="G273" s="21">
        <f>YEAR(F273)</f>
        <v>1945</v>
      </c>
      <c r="H273" s="22">
        <f t="shared" si="11"/>
        <v>81</v>
      </c>
      <c r="I273" s="23"/>
      <c r="J273" s="20" t="s">
        <v>27</v>
      </c>
      <c r="K273" s="6" t="s">
        <v>568</v>
      </c>
      <c r="L273" s="25"/>
      <c r="M273" s="25" t="s">
        <v>826</v>
      </c>
      <c r="N273" s="6"/>
      <c r="O273" s="6" t="s">
        <v>143</v>
      </c>
      <c r="P273" s="6">
        <v>155</v>
      </c>
      <c r="Q273" s="6">
        <v>46</v>
      </c>
      <c r="R273" s="26">
        <v>82</v>
      </c>
      <c r="S273" s="26"/>
      <c r="T273" s="26"/>
      <c r="U273" s="26"/>
      <c r="V273" s="6" t="s">
        <v>827</v>
      </c>
    </row>
    <row r="274" spans="1:22">
      <c r="A274" s="17">
        <v>264</v>
      </c>
      <c r="B274" s="27">
        <v>46063</v>
      </c>
      <c r="C274" s="6" t="s">
        <v>828</v>
      </c>
      <c r="D274" s="6"/>
      <c r="E274" s="6" t="s">
        <v>40</v>
      </c>
      <c r="F274" s="33">
        <v>20580</v>
      </c>
      <c r="G274" s="21">
        <f>YEAR(F274)</f>
        <v>1956</v>
      </c>
      <c r="H274" s="22">
        <f t="shared" si="11"/>
        <v>70</v>
      </c>
      <c r="I274" s="23"/>
      <c r="J274" s="20" t="s">
        <v>27</v>
      </c>
      <c r="K274" s="6" t="s">
        <v>568</v>
      </c>
      <c r="L274" s="25"/>
      <c r="M274" s="25" t="s">
        <v>829</v>
      </c>
      <c r="N274" s="6"/>
      <c r="O274" s="6" t="s">
        <v>87</v>
      </c>
      <c r="P274" s="6">
        <v>150</v>
      </c>
      <c r="Q274" s="6">
        <v>42</v>
      </c>
      <c r="R274" s="26">
        <v>80</v>
      </c>
      <c r="S274" s="26"/>
      <c r="T274" s="26"/>
      <c r="U274" s="26"/>
      <c r="V274" s="6" t="s">
        <v>830</v>
      </c>
    </row>
    <row r="275" spans="1:22">
      <c r="A275" s="20">
        <v>265</v>
      </c>
      <c r="B275" s="27">
        <v>46063</v>
      </c>
      <c r="C275" s="6" t="s">
        <v>831</v>
      </c>
      <c r="D275" s="6"/>
      <c r="E275" s="6" t="s">
        <v>40</v>
      </c>
      <c r="F275" s="33">
        <v>23867</v>
      </c>
      <c r="G275" s="21">
        <f>YEAR(F275)</f>
        <v>1965</v>
      </c>
      <c r="H275" s="22">
        <f t="shared" si="11"/>
        <v>61</v>
      </c>
      <c r="I275" s="23"/>
      <c r="J275" s="20" t="s">
        <v>27</v>
      </c>
      <c r="K275" s="6" t="s">
        <v>568</v>
      </c>
      <c r="L275" s="25"/>
      <c r="M275" s="25" t="s">
        <v>832</v>
      </c>
      <c r="N275" s="6"/>
      <c r="O275" s="6" t="s">
        <v>833</v>
      </c>
      <c r="P275" s="6">
        <v>156</v>
      </c>
      <c r="Q275" s="6">
        <v>60</v>
      </c>
      <c r="R275" s="26">
        <v>80</v>
      </c>
      <c r="S275" s="26"/>
      <c r="T275" s="26"/>
      <c r="U275" s="26"/>
      <c r="V275" s="6" t="s">
        <v>834</v>
      </c>
    </row>
    <row r="276" spans="1:22">
      <c r="A276" s="17">
        <v>266</v>
      </c>
      <c r="B276" s="27">
        <v>46063</v>
      </c>
      <c r="C276" s="6" t="s">
        <v>835</v>
      </c>
      <c r="D276" s="6"/>
      <c r="E276" s="6" t="s">
        <v>2374</v>
      </c>
      <c r="F276" s="33" t="s">
        <v>836</v>
      </c>
      <c r="G276" s="21" t="str">
        <f>RIGHT(F276,4)</f>
        <v>1978</v>
      </c>
      <c r="H276" s="22">
        <f t="shared" si="11"/>
        <v>48</v>
      </c>
      <c r="I276" s="23"/>
      <c r="J276" s="20" t="s">
        <v>27</v>
      </c>
      <c r="K276" s="6" t="s">
        <v>568</v>
      </c>
      <c r="L276" s="25"/>
      <c r="M276" s="25" t="s">
        <v>837</v>
      </c>
      <c r="N276" s="6"/>
      <c r="O276" s="6" t="s">
        <v>113</v>
      </c>
      <c r="P276" s="6">
        <v>150</v>
      </c>
      <c r="Q276" s="6">
        <v>48</v>
      </c>
      <c r="R276" s="26">
        <v>78</v>
      </c>
      <c r="S276" s="26"/>
      <c r="T276" s="26"/>
      <c r="U276" s="26"/>
      <c r="V276" s="6" t="s">
        <v>838</v>
      </c>
    </row>
    <row r="277" spans="1:22">
      <c r="A277" s="20">
        <v>267</v>
      </c>
      <c r="B277" s="27">
        <v>46063</v>
      </c>
      <c r="C277" s="6" t="s">
        <v>839</v>
      </c>
      <c r="D277" s="6"/>
      <c r="E277" s="6" t="s">
        <v>2374</v>
      </c>
      <c r="F277" s="33">
        <v>26299</v>
      </c>
      <c r="G277" s="21">
        <f>YEAR(F277)</f>
        <v>1972</v>
      </c>
      <c r="H277" s="22">
        <f t="shared" si="11"/>
        <v>54</v>
      </c>
      <c r="I277" s="23"/>
      <c r="J277" s="20" t="s">
        <v>27</v>
      </c>
      <c r="K277" s="6" t="s">
        <v>596</v>
      </c>
      <c r="L277" s="25"/>
      <c r="M277" s="25" t="s">
        <v>840</v>
      </c>
      <c r="N277" s="6"/>
      <c r="O277" s="6" t="s">
        <v>841</v>
      </c>
      <c r="P277" s="6">
        <v>160</v>
      </c>
      <c r="Q277" s="6">
        <v>55</v>
      </c>
      <c r="R277" s="26">
        <v>79</v>
      </c>
      <c r="S277" s="26"/>
      <c r="T277" s="26"/>
      <c r="U277" s="26"/>
      <c r="V277" s="6" t="s">
        <v>842</v>
      </c>
    </row>
    <row r="278" spans="1:22">
      <c r="A278" s="17">
        <v>268</v>
      </c>
      <c r="B278" s="27">
        <v>46063</v>
      </c>
      <c r="C278" s="6" t="s">
        <v>843</v>
      </c>
      <c r="D278" s="6"/>
      <c r="E278" s="6" t="s">
        <v>2374</v>
      </c>
      <c r="F278" s="33" t="s">
        <v>844</v>
      </c>
      <c r="G278" s="21" t="str">
        <f>RIGHT(F278,4)</f>
        <v>1972</v>
      </c>
      <c r="H278" s="22">
        <f t="shared" si="11"/>
        <v>54</v>
      </c>
      <c r="I278" s="23"/>
      <c r="J278" s="20" t="s">
        <v>27</v>
      </c>
      <c r="K278" s="6" t="s">
        <v>568</v>
      </c>
      <c r="L278" s="25"/>
      <c r="M278" s="25" t="s">
        <v>845</v>
      </c>
      <c r="N278" s="6"/>
      <c r="O278" s="6" t="s">
        <v>113</v>
      </c>
      <c r="P278" s="6">
        <v>150</v>
      </c>
      <c r="Q278" s="6">
        <v>60</v>
      </c>
      <c r="R278" s="26">
        <v>72</v>
      </c>
      <c r="S278" s="26"/>
      <c r="T278" s="26"/>
      <c r="U278" s="26"/>
      <c r="V278" s="6" t="s">
        <v>846</v>
      </c>
    </row>
    <row r="279" spans="1:22">
      <c r="A279" s="20">
        <v>269</v>
      </c>
      <c r="B279" s="27">
        <v>46063</v>
      </c>
      <c r="C279" s="6" t="s">
        <v>847</v>
      </c>
      <c r="D279" s="6"/>
      <c r="E279" s="6" t="s">
        <v>2374</v>
      </c>
      <c r="F279" s="33" t="s">
        <v>848</v>
      </c>
      <c r="G279" s="21" t="str">
        <f>RIGHT(F279,4)</f>
        <v>1978</v>
      </c>
      <c r="H279" s="22">
        <f t="shared" si="11"/>
        <v>48</v>
      </c>
      <c r="I279" s="23"/>
      <c r="J279" s="20" t="s">
        <v>27</v>
      </c>
      <c r="K279" s="6"/>
      <c r="L279" s="25"/>
      <c r="M279" s="25" t="s">
        <v>849</v>
      </c>
      <c r="N279" s="6"/>
      <c r="O279" s="6" t="s">
        <v>60</v>
      </c>
      <c r="P279" s="6">
        <v>165</v>
      </c>
      <c r="Q279" s="6">
        <v>53</v>
      </c>
      <c r="R279" s="26">
        <v>75</v>
      </c>
      <c r="S279" s="26"/>
      <c r="T279" s="26"/>
      <c r="U279" s="26"/>
      <c r="V279" s="6" t="s">
        <v>850</v>
      </c>
    </row>
    <row r="280" spans="1:22">
      <c r="A280" s="17">
        <v>270</v>
      </c>
      <c r="B280" s="27">
        <v>46063</v>
      </c>
      <c r="C280" s="6" t="s">
        <v>851</v>
      </c>
      <c r="D280" s="6"/>
      <c r="E280" s="6" t="s">
        <v>40</v>
      </c>
      <c r="F280" s="33">
        <v>13578</v>
      </c>
      <c r="G280" s="21">
        <f>YEAR(F280)</f>
        <v>1937</v>
      </c>
      <c r="H280" s="22">
        <f t="shared" si="11"/>
        <v>89</v>
      </c>
      <c r="I280" s="23"/>
      <c r="J280" s="20" t="s">
        <v>27</v>
      </c>
      <c r="K280" s="6" t="s">
        <v>568</v>
      </c>
      <c r="L280" s="25"/>
      <c r="M280" s="25" t="s">
        <v>852</v>
      </c>
      <c r="N280" s="6"/>
      <c r="O280" s="6" t="s">
        <v>143</v>
      </c>
      <c r="P280" s="6">
        <v>145</v>
      </c>
      <c r="Q280" s="6">
        <v>35</v>
      </c>
      <c r="R280" s="26">
        <v>80</v>
      </c>
      <c r="S280" s="26"/>
      <c r="T280" s="26"/>
      <c r="U280" s="26"/>
      <c r="V280" s="6" t="s">
        <v>853</v>
      </c>
    </row>
    <row r="281" spans="1:22">
      <c r="A281" s="17">
        <v>271</v>
      </c>
      <c r="B281" s="27">
        <v>46063</v>
      </c>
      <c r="C281" s="6" t="s">
        <v>854</v>
      </c>
      <c r="D281" s="6"/>
      <c r="E281" s="6" t="s">
        <v>40</v>
      </c>
      <c r="F281" s="33" t="s">
        <v>855</v>
      </c>
      <c r="G281" s="21" t="str">
        <f>RIGHT(F281,4)</f>
        <v>1938</v>
      </c>
      <c r="H281" s="22">
        <f t="shared" si="11"/>
        <v>88</v>
      </c>
      <c r="I281" s="23"/>
      <c r="J281" s="20" t="s">
        <v>27</v>
      </c>
      <c r="K281" s="6" t="s">
        <v>568</v>
      </c>
      <c r="L281" s="25"/>
      <c r="M281" s="25" t="s">
        <v>856</v>
      </c>
      <c r="N281" s="6"/>
      <c r="O281" s="6" t="s">
        <v>34</v>
      </c>
      <c r="P281" s="6"/>
      <c r="Q281" s="6">
        <v>40</v>
      </c>
      <c r="R281" s="26">
        <v>80</v>
      </c>
      <c r="S281" s="26"/>
      <c r="T281" s="26"/>
      <c r="U281" s="26"/>
      <c r="V281" s="6" t="s">
        <v>857</v>
      </c>
    </row>
    <row r="282" spans="1:22">
      <c r="A282" s="20">
        <v>272</v>
      </c>
      <c r="B282" s="27">
        <v>46063</v>
      </c>
      <c r="C282" s="6" t="s">
        <v>858</v>
      </c>
      <c r="D282" s="6"/>
      <c r="E282" s="6" t="s">
        <v>40</v>
      </c>
      <c r="F282" s="33">
        <v>15836</v>
      </c>
      <c r="G282" s="21">
        <f>YEAR(F282)</f>
        <v>1943</v>
      </c>
      <c r="H282" s="22">
        <f t="shared" si="11"/>
        <v>83</v>
      </c>
      <c r="I282" s="23" t="s">
        <v>27</v>
      </c>
      <c r="J282" s="20"/>
      <c r="K282" s="6" t="s">
        <v>568</v>
      </c>
      <c r="L282" s="25"/>
      <c r="M282" s="25" t="s">
        <v>859</v>
      </c>
      <c r="N282" s="6"/>
      <c r="O282" s="6" t="s">
        <v>273</v>
      </c>
      <c r="P282" s="6">
        <v>161</v>
      </c>
      <c r="Q282" s="6">
        <v>42</v>
      </c>
      <c r="R282" s="26">
        <v>75</v>
      </c>
      <c r="S282" s="26"/>
      <c r="T282" s="26"/>
      <c r="U282" s="26"/>
      <c r="V282" s="6" t="s">
        <v>860</v>
      </c>
    </row>
    <row r="283" spans="1:22">
      <c r="A283" s="17">
        <v>273</v>
      </c>
      <c r="B283" s="27">
        <v>46063</v>
      </c>
      <c r="C283" s="6" t="s">
        <v>861</v>
      </c>
      <c r="D283" s="6"/>
      <c r="E283" s="6" t="s">
        <v>2374</v>
      </c>
      <c r="F283" s="33">
        <v>26549</v>
      </c>
      <c r="G283" s="21">
        <f>YEAR(F283)</f>
        <v>1972</v>
      </c>
      <c r="H283" s="22">
        <f t="shared" si="11"/>
        <v>54</v>
      </c>
      <c r="I283" s="23"/>
      <c r="J283" s="20" t="s">
        <v>27</v>
      </c>
      <c r="K283" s="6" t="s">
        <v>568</v>
      </c>
      <c r="L283" s="25"/>
      <c r="M283" s="25"/>
      <c r="N283" s="6"/>
      <c r="O283" s="6" t="s">
        <v>30</v>
      </c>
      <c r="P283" s="6">
        <v>152</v>
      </c>
      <c r="Q283" s="6">
        <v>47</v>
      </c>
      <c r="R283" s="26">
        <v>69</v>
      </c>
      <c r="S283" s="26"/>
      <c r="T283" s="26"/>
      <c r="U283" s="26"/>
      <c r="V283" s="6" t="s">
        <v>862</v>
      </c>
    </row>
    <row r="284" spans="1:22">
      <c r="A284" s="20">
        <v>274</v>
      </c>
      <c r="B284" s="27">
        <v>46063</v>
      </c>
      <c r="C284" s="6" t="s">
        <v>863</v>
      </c>
      <c r="D284" s="6"/>
      <c r="E284" s="6" t="s">
        <v>40</v>
      </c>
      <c r="F284" s="33" t="s">
        <v>864</v>
      </c>
      <c r="G284" s="21" t="str">
        <f>RIGHT(F284,4)</f>
        <v>1942</v>
      </c>
      <c r="H284" s="22">
        <f t="shared" si="11"/>
        <v>84</v>
      </c>
      <c r="I284" s="23" t="s">
        <v>27</v>
      </c>
      <c r="J284" s="20"/>
      <c r="K284" s="6" t="s">
        <v>568</v>
      </c>
      <c r="L284" s="25"/>
      <c r="M284" s="25" t="s">
        <v>865</v>
      </c>
      <c r="N284" s="6"/>
      <c r="O284" s="6" t="s">
        <v>60</v>
      </c>
      <c r="P284" s="6">
        <v>160</v>
      </c>
      <c r="Q284" s="6">
        <v>50</v>
      </c>
      <c r="R284" s="26">
        <v>80</v>
      </c>
      <c r="S284" s="26"/>
      <c r="T284" s="26"/>
      <c r="U284" s="26"/>
      <c r="V284" s="6" t="s">
        <v>866</v>
      </c>
    </row>
    <row r="285" spans="1:22">
      <c r="A285" s="17">
        <v>275</v>
      </c>
      <c r="B285" s="27">
        <v>46063</v>
      </c>
      <c r="C285" s="6" t="s">
        <v>867</v>
      </c>
      <c r="D285" s="6"/>
      <c r="E285" s="6" t="s">
        <v>40</v>
      </c>
      <c r="F285" s="33">
        <v>16569</v>
      </c>
      <c r="G285" s="21">
        <f>YEAR(F285)</f>
        <v>1945</v>
      </c>
      <c r="H285" s="22">
        <f t="shared" si="11"/>
        <v>81</v>
      </c>
      <c r="I285" s="23"/>
      <c r="J285" s="20" t="s">
        <v>27</v>
      </c>
      <c r="K285" s="6" t="s">
        <v>568</v>
      </c>
      <c r="L285" s="25"/>
      <c r="M285" s="25" t="s">
        <v>868</v>
      </c>
      <c r="N285" s="6"/>
      <c r="O285" s="6" t="s">
        <v>143</v>
      </c>
      <c r="P285" s="6">
        <v>155</v>
      </c>
      <c r="Q285" s="6">
        <v>54</v>
      </c>
      <c r="R285" s="26">
        <v>80</v>
      </c>
      <c r="S285" s="26"/>
      <c r="T285" s="26"/>
      <c r="U285" s="26"/>
      <c r="V285" s="6" t="s">
        <v>869</v>
      </c>
    </row>
    <row r="286" spans="1:22">
      <c r="A286" s="20">
        <v>276</v>
      </c>
      <c r="B286" s="27">
        <v>46063</v>
      </c>
      <c r="C286" s="6" t="s">
        <v>870</v>
      </c>
      <c r="D286" s="6"/>
      <c r="E286" s="6" t="s">
        <v>2374</v>
      </c>
      <c r="F286" s="33">
        <v>27583</v>
      </c>
      <c r="G286" s="21">
        <f>YEAR(F286)</f>
        <v>1975</v>
      </c>
      <c r="H286" s="22">
        <f t="shared" si="11"/>
        <v>51</v>
      </c>
      <c r="I286" s="23"/>
      <c r="J286" s="20" t="s">
        <v>27</v>
      </c>
      <c r="K286" s="6" t="s">
        <v>568</v>
      </c>
      <c r="L286" s="25"/>
      <c r="M286" s="25" t="s">
        <v>871</v>
      </c>
      <c r="N286" s="6"/>
      <c r="O286" s="6" t="s">
        <v>504</v>
      </c>
      <c r="P286" s="6">
        <v>152</v>
      </c>
      <c r="Q286" s="6">
        <v>50</v>
      </c>
      <c r="R286" s="26">
        <v>72</v>
      </c>
      <c r="S286" s="26"/>
      <c r="T286" s="26"/>
      <c r="U286" s="26"/>
      <c r="V286" s="6" t="s">
        <v>872</v>
      </c>
    </row>
    <row r="287" spans="1:22">
      <c r="A287" s="17">
        <v>277</v>
      </c>
      <c r="B287" s="27">
        <v>46063</v>
      </c>
      <c r="C287" s="6" t="s">
        <v>351</v>
      </c>
      <c r="D287" s="6"/>
      <c r="E287" s="6" t="s">
        <v>2374</v>
      </c>
      <c r="F287" s="33">
        <v>28126</v>
      </c>
      <c r="G287" s="21">
        <f>YEAR(F287)</f>
        <v>1977</v>
      </c>
      <c r="H287" s="22">
        <f t="shared" si="11"/>
        <v>49</v>
      </c>
      <c r="I287" s="23"/>
      <c r="J287" s="20" t="s">
        <v>27</v>
      </c>
      <c r="K287" s="6"/>
      <c r="L287" s="25"/>
      <c r="M287" s="25" t="s">
        <v>873</v>
      </c>
      <c r="N287" s="6"/>
      <c r="O287" s="6" t="s">
        <v>687</v>
      </c>
      <c r="P287" s="6">
        <v>150</v>
      </c>
      <c r="Q287" s="6">
        <v>55</v>
      </c>
      <c r="R287" s="26">
        <v>90</v>
      </c>
      <c r="S287" s="26"/>
      <c r="T287" s="26"/>
      <c r="U287" s="26"/>
      <c r="V287" s="6" t="s">
        <v>874</v>
      </c>
    </row>
    <row r="288" spans="1:22">
      <c r="A288" s="20">
        <v>278</v>
      </c>
      <c r="B288" s="27">
        <v>46063</v>
      </c>
      <c r="C288" s="6" t="s">
        <v>875</v>
      </c>
      <c r="D288" s="6"/>
      <c r="E288" s="6" t="s">
        <v>40</v>
      </c>
      <c r="F288" s="33">
        <v>15707</v>
      </c>
      <c r="G288" s="21">
        <f>YEAR(F288)</f>
        <v>1943</v>
      </c>
      <c r="H288" s="22">
        <f t="shared" si="11"/>
        <v>83</v>
      </c>
      <c r="I288" s="23" t="s">
        <v>27</v>
      </c>
      <c r="J288" s="20"/>
      <c r="K288" s="6" t="s">
        <v>568</v>
      </c>
      <c r="L288" s="25"/>
      <c r="M288" s="25" t="s">
        <v>876</v>
      </c>
      <c r="N288" s="6"/>
      <c r="O288" s="6" t="s">
        <v>724</v>
      </c>
      <c r="P288" s="6">
        <v>155</v>
      </c>
      <c r="Q288" s="6">
        <v>48</v>
      </c>
      <c r="R288" s="26">
        <v>76</v>
      </c>
      <c r="S288" s="26"/>
      <c r="T288" s="26"/>
      <c r="U288" s="26"/>
      <c r="V288" s="6" t="s">
        <v>877</v>
      </c>
    </row>
    <row r="289" spans="1:22">
      <c r="A289" s="17">
        <v>279</v>
      </c>
      <c r="B289" s="27">
        <v>46063</v>
      </c>
      <c r="C289" s="6" t="s">
        <v>878</v>
      </c>
      <c r="D289" s="6"/>
      <c r="E289" s="6" t="s">
        <v>40</v>
      </c>
      <c r="F289" s="33" t="s">
        <v>879</v>
      </c>
      <c r="G289" s="21" t="str">
        <f>RIGHT(F289,4)</f>
        <v>1945</v>
      </c>
      <c r="H289" s="22">
        <f t="shared" si="11"/>
        <v>81</v>
      </c>
      <c r="I289" s="23"/>
      <c r="J289" s="20" t="s">
        <v>27</v>
      </c>
      <c r="K289" s="6" t="s">
        <v>568</v>
      </c>
      <c r="L289" s="25"/>
      <c r="M289" s="25" t="s">
        <v>880</v>
      </c>
      <c r="N289" s="6"/>
      <c r="O289" s="6" t="s">
        <v>60</v>
      </c>
      <c r="P289" s="6">
        <v>150</v>
      </c>
      <c r="Q289" s="6">
        <v>40</v>
      </c>
      <c r="R289" s="26">
        <v>72</v>
      </c>
      <c r="S289" s="26"/>
      <c r="T289" s="26"/>
      <c r="U289" s="26"/>
      <c r="V289" s="6" t="s">
        <v>881</v>
      </c>
    </row>
    <row r="290" spans="1:22">
      <c r="A290" s="20">
        <v>280</v>
      </c>
      <c r="B290" s="27">
        <v>46063</v>
      </c>
      <c r="C290" s="6" t="s">
        <v>882</v>
      </c>
      <c r="D290" s="6"/>
      <c r="E290" s="6" t="s">
        <v>2374</v>
      </c>
      <c r="F290" s="33" t="s">
        <v>883</v>
      </c>
      <c r="G290" s="21" t="str">
        <f>RIGHT(F290,4)</f>
        <v>1973</v>
      </c>
      <c r="H290" s="22">
        <f t="shared" si="11"/>
        <v>53</v>
      </c>
      <c r="I290" s="23" t="s">
        <v>27</v>
      </c>
      <c r="J290" s="20"/>
      <c r="K290" s="6" t="s">
        <v>568</v>
      </c>
      <c r="L290" s="25"/>
      <c r="M290" s="25" t="s">
        <v>884</v>
      </c>
      <c r="N290" s="6"/>
      <c r="O290" s="6" t="s">
        <v>87</v>
      </c>
      <c r="P290" s="6">
        <v>155</v>
      </c>
      <c r="Q290" s="6">
        <v>51</v>
      </c>
      <c r="R290" s="26">
        <v>78</v>
      </c>
      <c r="S290" s="26"/>
      <c r="T290" s="26"/>
      <c r="U290" s="26"/>
      <c r="V290" s="6" t="s">
        <v>574</v>
      </c>
    </row>
    <row r="291" spans="1:22">
      <c r="A291" s="17">
        <v>281</v>
      </c>
      <c r="B291" s="27">
        <v>46063</v>
      </c>
      <c r="C291" s="6" t="s">
        <v>885</v>
      </c>
      <c r="D291" s="6"/>
      <c r="E291" s="6" t="s">
        <v>2374</v>
      </c>
      <c r="F291" s="33">
        <v>28339</v>
      </c>
      <c r="G291" s="21">
        <f>YEAR(F291)</f>
        <v>1977</v>
      </c>
      <c r="H291" s="22">
        <f t="shared" si="11"/>
        <v>49</v>
      </c>
      <c r="I291" s="23"/>
      <c r="J291" s="20" t="s">
        <v>27</v>
      </c>
      <c r="K291" s="6" t="s">
        <v>568</v>
      </c>
      <c r="L291" s="25"/>
      <c r="M291" s="25" t="s">
        <v>886</v>
      </c>
      <c r="N291" s="6"/>
      <c r="O291" s="6" t="s">
        <v>634</v>
      </c>
      <c r="P291" s="6">
        <v>150</v>
      </c>
      <c r="Q291" s="6">
        <v>65</v>
      </c>
      <c r="R291" s="26">
        <v>75</v>
      </c>
      <c r="S291" s="26"/>
      <c r="T291" s="26"/>
      <c r="U291" s="26"/>
      <c r="V291" s="6" t="s">
        <v>887</v>
      </c>
    </row>
    <row r="292" spans="1:22">
      <c r="A292" s="20">
        <v>282</v>
      </c>
      <c r="B292" s="27">
        <v>46063</v>
      </c>
      <c r="C292" s="6" t="s">
        <v>468</v>
      </c>
      <c r="D292" s="6"/>
      <c r="E292" s="6" t="s">
        <v>40</v>
      </c>
      <c r="F292" s="33" t="s">
        <v>888</v>
      </c>
      <c r="G292" s="21" t="str">
        <f>RIGHT(F292,4)</f>
        <v>1953</v>
      </c>
      <c r="H292" s="22">
        <f t="shared" si="11"/>
        <v>73</v>
      </c>
      <c r="I292" s="23" t="s">
        <v>27</v>
      </c>
      <c r="J292" s="20"/>
      <c r="K292" s="6" t="s">
        <v>568</v>
      </c>
      <c r="L292" s="25"/>
      <c r="M292" s="25" t="s">
        <v>889</v>
      </c>
      <c r="N292" s="6"/>
      <c r="O292" s="6" t="s">
        <v>113</v>
      </c>
      <c r="P292" s="6">
        <v>150</v>
      </c>
      <c r="Q292" s="6">
        <v>45</v>
      </c>
      <c r="R292" s="26">
        <v>75</v>
      </c>
      <c r="S292" s="26"/>
      <c r="T292" s="26"/>
      <c r="U292" s="26"/>
      <c r="V292" s="6" t="s">
        <v>890</v>
      </c>
    </row>
    <row r="293" spans="1:22">
      <c r="A293" s="17">
        <v>283</v>
      </c>
      <c r="B293" s="27">
        <v>46063</v>
      </c>
      <c r="C293" s="6" t="s">
        <v>891</v>
      </c>
      <c r="D293" s="6"/>
      <c r="E293" s="6" t="s">
        <v>2374</v>
      </c>
      <c r="F293" s="33">
        <v>24475</v>
      </c>
      <c r="G293" s="21">
        <f>YEAR(F293)</f>
        <v>1967</v>
      </c>
      <c r="H293" s="22">
        <f t="shared" si="11"/>
        <v>59</v>
      </c>
      <c r="I293" s="23" t="s">
        <v>27</v>
      </c>
      <c r="J293" s="20"/>
      <c r="K293" s="6" t="s">
        <v>568</v>
      </c>
      <c r="L293" s="25"/>
      <c r="M293" s="25" t="s">
        <v>892</v>
      </c>
      <c r="N293" s="6"/>
      <c r="O293" s="6" t="s">
        <v>87</v>
      </c>
      <c r="P293" s="6">
        <v>160</v>
      </c>
      <c r="Q293" s="6">
        <v>41</v>
      </c>
      <c r="R293" s="26">
        <v>80</v>
      </c>
      <c r="S293" s="26"/>
      <c r="T293" s="26"/>
      <c r="U293" s="26"/>
      <c r="V293" s="6" t="s">
        <v>893</v>
      </c>
    </row>
    <row r="294" spans="1:22">
      <c r="A294" s="20">
        <v>284</v>
      </c>
      <c r="B294" s="27">
        <v>46063</v>
      </c>
      <c r="C294" s="6" t="s">
        <v>894</v>
      </c>
      <c r="D294" s="6"/>
      <c r="E294" s="6" t="s">
        <v>2374</v>
      </c>
      <c r="F294" s="33">
        <v>24934</v>
      </c>
      <c r="G294" s="21">
        <f>YEAR(F294)</f>
        <v>1968</v>
      </c>
      <c r="H294" s="22">
        <f t="shared" si="11"/>
        <v>58</v>
      </c>
      <c r="I294" s="23" t="s">
        <v>27</v>
      </c>
      <c r="J294" s="20"/>
      <c r="K294" s="6" t="s">
        <v>568</v>
      </c>
      <c r="L294" s="25"/>
      <c r="M294" s="25" t="s">
        <v>895</v>
      </c>
      <c r="N294" s="6"/>
      <c r="O294" s="6" t="s">
        <v>87</v>
      </c>
      <c r="P294" s="6"/>
      <c r="Q294" s="6"/>
      <c r="R294" s="26"/>
      <c r="S294" s="26"/>
      <c r="T294" s="26"/>
      <c r="U294" s="26"/>
      <c r="V294" s="6" t="s">
        <v>896</v>
      </c>
    </row>
    <row r="295" spans="1:22">
      <c r="A295" s="17">
        <v>285</v>
      </c>
      <c r="B295" s="27">
        <v>46063</v>
      </c>
      <c r="C295" s="6" t="s">
        <v>897</v>
      </c>
      <c r="D295" s="6"/>
      <c r="E295" s="6" t="s">
        <v>40</v>
      </c>
      <c r="F295" s="33">
        <v>16653</v>
      </c>
      <c r="G295" s="21">
        <f>YEAR(F295)</f>
        <v>1945</v>
      </c>
      <c r="H295" s="22">
        <f t="shared" si="11"/>
        <v>81</v>
      </c>
      <c r="I295" s="23" t="s">
        <v>27</v>
      </c>
      <c r="J295" s="20"/>
      <c r="K295" s="6" t="s">
        <v>568</v>
      </c>
      <c r="L295" s="25"/>
      <c r="M295" s="25" t="s">
        <v>898</v>
      </c>
      <c r="N295" s="6"/>
      <c r="O295" s="6" t="s">
        <v>313</v>
      </c>
      <c r="P295" s="6">
        <v>156</v>
      </c>
      <c r="Q295" s="6">
        <v>50</v>
      </c>
      <c r="R295" s="26">
        <v>72</v>
      </c>
      <c r="S295" s="26"/>
      <c r="T295" s="26"/>
      <c r="U295" s="26"/>
      <c r="V295" s="6" t="s">
        <v>899</v>
      </c>
    </row>
    <row r="296" spans="1:22">
      <c r="A296" s="20">
        <v>286</v>
      </c>
      <c r="B296" s="27">
        <v>46063</v>
      </c>
      <c r="C296" s="6" t="s">
        <v>900</v>
      </c>
      <c r="D296" s="6"/>
      <c r="E296" s="6" t="s">
        <v>2374</v>
      </c>
      <c r="F296" s="33" t="s">
        <v>901</v>
      </c>
      <c r="G296" s="21" t="str">
        <f>RIGHT(F296,4)</f>
        <v>1969</v>
      </c>
      <c r="H296" s="22">
        <f t="shared" si="11"/>
        <v>57</v>
      </c>
      <c r="I296" s="23"/>
      <c r="J296" s="20" t="s">
        <v>27</v>
      </c>
      <c r="K296" s="6" t="s">
        <v>568</v>
      </c>
      <c r="L296" s="25"/>
      <c r="M296" s="25" t="s">
        <v>902</v>
      </c>
      <c r="N296" s="6"/>
      <c r="O296" s="6" t="s">
        <v>903</v>
      </c>
      <c r="P296" s="6">
        <v>151</v>
      </c>
      <c r="Q296" s="6">
        <v>52</v>
      </c>
      <c r="R296" s="26">
        <v>78</v>
      </c>
      <c r="S296" s="26"/>
      <c r="T296" s="26"/>
      <c r="U296" s="26"/>
      <c r="V296" s="6" t="s">
        <v>904</v>
      </c>
    </row>
    <row r="297" spans="1:22">
      <c r="A297" s="17">
        <v>287</v>
      </c>
      <c r="B297" s="27">
        <v>46063</v>
      </c>
      <c r="C297" s="6" t="s">
        <v>905</v>
      </c>
      <c r="D297" s="6"/>
      <c r="E297" s="6" t="s">
        <v>40</v>
      </c>
      <c r="F297" s="33">
        <v>23933</v>
      </c>
      <c r="G297" s="21">
        <f>YEAR(F297)</f>
        <v>1965</v>
      </c>
      <c r="H297" s="22">
        <f t="shared" si="11"/>
        <v>61</v>
      </c>
      <c r="I297" s="23"/>
      <c r="J297" s="20" t="s">
        <v>27</v>
      </c>
      <c r="K297" s="6" t="s">
        <v>568</v>
      </c>
      <c r="L297" s="25"/>
      <c r="M297" s="25" t="s">
        <v>906</v>
      </c>
      <c r="N297" s="6"/>
      <c r="O297" s="6" t="s">
        <v>87</v>
      </c>
      <c r="P297" s="6">
        <v>158</v>
      </c>
      <c r="Q297" s="6">
        <v>52</v>
      </c>
      <c r="R297" s="26">
        <v>75</v>
      </c>
      <c r="S297" s="26"/>
      <c r="T297" s="26"/>
      <c r="U297" s="26"/>
      <c r="V297" s="6" t="s">
        <v>907</v>
      </c>
    </row>
    <row r="298" spans="1:22">
      <c r="A298" s="20">
        <v>288</v>
      </c>
      <c r="B298" s="27">
        <v>46063</v>
      </c>
      <c r="C298" s="6" t="s">
        <v>908</v>
      </c>
      <c r="D298" s="6"/>
      <c r="E298" s="6" t="s">
        <v>40</v>
      </c>
      <c r="F298" s="33">
        <v>15040</v>
      </c>
      <c r="G298" s="21">
        <f>YEAR(F298)</f>
        <v>1941</v>
      </c>
      <c r="H298" s="22">
        <f t="shared" si="11"/>
        <v>85</v>
      </c>
      <c r="I298" s="23" t="s">
        <v>27</v>
      </c>
      <c r="J298" s="20"/>
      <c r="K298" s="6" t="s">
        <v>568</v>
      </c>
      <c r="L298" s="25"/>
      <c r="M298" s="25" t="s">
        <v>909</v>
      </c>
      <c r="N298" s="6"/>
      <c r="O298" s="6" t="s">
        <v>87</v>
      </c>
      <c r="P298" s="6">
        <v>161</v>
      </c>
      <c r="Q298" s="6">
        <v>50</v>
      </c>
      <c r="R298" s="26">
        <v>75</v>
      </c>
      <c r="S298" s="26"/>
      <c r="T298" s="26"/>
      <c r="U298" s="26"/>
      <c r="V298" s="6" t="s">
        <v>910</v>
      </c>
    </row>
    <row r="299" spans="1:22">
      <c r="A299" s="17">
        <v>289</v>
      </c>
      <c r="B299" s="27">
        <v>46063</v>
      </c>
      <c r="C299" s="6" t="s">
        <v>911</v>
      </c>
      <c r="D299" s="6"/>
      <c r="E299" s="6" t="s">
        <v>609</v>
      </c>
      <c r="F299" s="33" t="s">
        <v>912</v>
      </c>
      <c r="G299" s="21" t="str">
        <f>RIGHT(F299,4)</f>
        <v>2004</v>
      </c>
      <c r="H299" s="22">
        <f t="shared" si="11"/>
        <v>22</v>
      </c>
      <c r="I299" s="23" t="s">
        <v>27</v>
      </c>
      <c r="J299" s="20"/>
      <c r="K299" s="6" t="s">
        <v>534</v>
      </c>
      <c r="L299" s="25"/>
      <c r="M299" s="25" t="s">
        <v>913</v>
      </c>
      <c r="N299" s="6"/>
      <c r="O299" s="6" t="s">
        <v>60</v>
      </c>
      <c r="P299" s="6">
        <v>172</v>
      </c>
      <c r="Q299" s="6">
        <v>50</v>
      </c>
      <c r="R299" s="26">
        <v>79</v>
      </c>
      <c r="S299" s="26"/>
      <c r="T299" s="26"/>
      <c r="U299" s="26"/>
      <c r="V299" s="6" t="s">
        <v>914</v>
      </c>
    </row>
    <row r="300" spans="1:22">
      <c r="A300" s="20">
        <v>290</v>
      </c>
      <c r="B300" s="27">
        <v>46063</v>
      </c>
      <c r="C300" s="6" t="s">
        <v>915</v>
      </c>
      <c r="D300" s="6"/>
      <c r="E300" s="6" t="s">
        <v>2374</v>
      </c>
      <c r="F300" s="33">
        <v>27150</v>
      </c>
      <c r="G300" s="21">
        <f>YEAR(F300)</f>
        <v>1974</v>
      </c>
      <c r="H300" s="22">
        <f t="shared" si="11"/>
        <v>52</v>
      </c>
      <c r="I300" s="23"/>
      <c r="J300" s="20" t="s">
        <v>27</v>
      </c>
      <c r="K300" s="6" t="s">
        <v>568</v>
      </c>
      <c r="L300" s="25"/>
      <c r="M300" s="25" t="s">
        <v>916</v>
      </c>
      <c r="N300" s="6"/>
      <c r="O300" s="6" t="s">
        <v>87</v>
      </c>
      <c r="P300" s="6">
        <v>151</v>
      </c>
      <c r="Q300" s="6">
        <v>50</v>
      </c>
      <c r="R300" s="26">
        <v>80</v>
      </c>
      <c r="S300" s="26"/>
      <c r="T300" s="26"/>
      <c r="U300" s="26"/>
      <c r="V300" s="6" t="s">
        <v>917</v>
      </c>
    </row>
    <row r="301" spans="1:22">
      <c r="A301" s="17">
        <v>291</v>
      </c>
      <c r="B301" s="27">
        <v>46063</v>
      </c>
      <c r="C301" s="6" t="s">
        <v>918</v>
      </c>
      <c r="D301" s="6"/>
      <c r="E301" s="6" t="s">
        <v>40</v>
      </c>
      <c r="F301" s="33">
        <v>13519</v>
      </c>
      <c r="G301" s="21">
        <f>YEAR(F301)</f>
        <v>1937</v>
      </c>
      <c r="H301" s="22">
        <f t="shared" si="11"/>
        <v>89</v>
      </c>
      <c r="I301" s="23" t="s">
        <v>27</v>
      </c>
      <c r="J301" s="20"/>
      <c r="K301" s="6" t="s">
        <v>596</v>
      </c>
      <c r="L301" s="25"/>
      <c r="M301" s="25" t="s">
        <v>919</v>
      </c>
      <c r="N301" s="6"/>
      <c r="O301" s="6" t="s">
        <v>42</v>
      </c>
      <c r="P301" s="6">
        <v>155</v>
      </c>
      <c r="Q301" s="6">
        <v>45</v>
      </c>
      <c r="R301" s="26">
        <v>79</v>
      </c>
      <c r="S301" s="26"/>
      <c r="T301" s="26"/>
      <c r="U301" s="26"/>
      <c r="V301" s="6" t="s">
        <v>920</v>
      </c>
    </row>
    <row r="302" spans="1:22">
      <c r="A302" s="20">
        <v>292</v>
      </c>
      <c r="B302" s="27">
        <v>46063</v>
      </c>
      <c r="C302" s="6" t="s">
        <v>921</v>
      </c>
      <c r="D302" s="6"/>
      <c r="E302" s="6" t="s">
        <v>2374</v>
      </c>
      <c r="F302" s="33" t="s">
        <v>922</v>
      </c>
      <c r="G302" s="21" t="str">
        <f>RIGHT(F302,4)</f>
        <v>1968</v>
      </c>
      <c r="H302" s="22">
        <f t="shared" si="11"/>
        <v>58</v>
      </c>
      <c r="I302" s="23" t="s">
        <v>27</v>
      </c>
      <c r="J302" s="20"/>
      <c r="K302" s="6" t="s">
        <v>596</v>
      </c>
      <c r="L302" s="25"/>
      <c r="M302" s="25" t="s">
        <v>923</v>
      </c>
      <c r="N302" s="6"/>
      <c r="O302" s="6" t="s">
        <v>284</v>
      </c>
      <c r="P302" s="6">
        <v>169</v>
      </c>
      <c r="Q302" s="6">
        <v>54</v>
      </c>
      <c r="R302" s="26">
        <v>77</v>
      </c>
      <c r="S302" s="26"/>
      <c r="T302" s="26"/>
      <c r="U302" s="26"/>
      <c r="V302" s="6" t="s">
        <v>924</v>
      </c>
    </row>
    <row r="303" spans="1:22">
      <c r="A303" s="17">
        <v>293</v>
      </c>
      <c r="B303" s="27">
        <v>46063</v>
      </c>
      <c r="C303" s="6" t="s">
        <v>925</v>
      </c>
      <c r="D303" s="6"/>
      <c r="E303" s="6" t="s">
        <v>2374</v>
      </c>
      <c r="F303" s="33">
        <v>26332</v>
      </c>
      <c r="G303" s="21">
        <f>YEAR(F303)</f>
        <v>1972</v>
      </c>
      <c r="H303" s="22">
        <f t="shared" si="11"/>
        <v>54</v>
      </c>
      <c r="I303" s="23"/>
      <c r="J303" s="20" t="s">
        <v>27</v>
      </c>
      <c r="K303" s="6" t="s">
        <v>596</v>
      </c>
      <c r="L303" s="25"/>
      <c r="M303" s="25" t="s">
        <v>926</v>
      </c>
      <c r="N303" s="6"/>
      <c r="O303" s="6" t="s">
        <v>87</v>
      </c>
      <c r="P303" s="6">
        <v>154</v>
      </c>
      <c r="Q303" s="6">
        <v>52</v>
      </c>
      <c r="R303" s="26">
        <v>80</v>
      </c>
      <c r="S303" s="26"/>
      <c r="T303" s="26"/>
      <c r="U303" s="26"/>
      <c r="V303" s="6" t="s">
        <v>927</v>
      </c>
    </row>
    <row r="304" spans="1:22">
      <c r="A304" s="20">
        <v>294</v>
      </c>
      <c r="B304" s="27">
        <v>46063</v>
      </c>
      <c r="C304" s="6" t="s">
        <v>928</v>
      </c>
      <c r="D304" s="6"/>
      <c r="E304" s="6" t="s">
        <v>2374</v>
      </c>
      <c r="F304" s="33">
        <v>26363</v>
      </c>
      <c r="G304" s="21">
        <f>YEAR(F304)</f>
        <v>1972</v>
      </c>
      <c r="H304" s="22">
        <f t="shared" si="11"/>
        <v>54</v>
      </c>
      <c r="I304" s="23" t="s">
        <v>27</v>
      </c>
      <c r="J304" s="20"/>
      <c r="K304" s="6" t="s">
        <v>596</v>
      </c>
      <c r="L304" s="25"/>
      <c r="M304" s="25" t="s">
        <v>929</v>
      </c>
      <c r="N304" s="6"/>
      <c r="O304" s="6" t="s">
        <v>930</v>
      </c>
      <c r="P304" s="6">
        <v>165</v>
      </c>
      <c r="Q304" s="6">
        <v>52</v>
      </c>
      <c r="R304" s="26">
        <v>85</v>
      </c>
      <c r="S304" s="26"/>
      <c r="T304" s="26"/>
      <c r="U304" s="26"/>
      <c r="V304" s="6" t="s">
        <v>931</v>
      </c>
    </row>
    <row r="305" spans="1:22">
      <c r="A305" s="17">
        <v>295</v>
      </c>
      <c r="B305" s="27">
        <v>46063</v>
      </c>
      <c r="C305" s="6" t="s">
        <v>932</v>
      </c>
      <c r="D305" s="6"/>
      <c r="E305" s="6" t="s">
        <v>2374</v>
      </c>
      <c r="F305" s="33">
        <v>25114</v>
      </c>
      <c r="G305" s="21">
        <f>YEAR(F305)</f>
        <v>1968</v>
      </c>
      <c r="H305" s="22">
        <f t="shared" si="11"/>
        <v>58</v>
      </c>
      <c r="I305" s="23"/>
      <c r="J305" s="20" t="s">
        <v>27</v>
      </c>
      <c r="K305" s="6" t="s">
        <v>596</v>
      </c>
      <c r="L305" s="25"/>
      <c r="M305" s="25" t="s">
        <v>933</v>
      </c>
      <c r="N305" s="6"/>
      <c r="O305" s="6" t="s">
        <v>309</v>
      </c>
      <c r="P305" s="6">
        <v>150</v>
      </c>
      <c r="Q305" s="6">
        <v>57</v>
      </c>
      <c r="R305" s="26">
        <v>60</v>
      </c>
      <c r="S305" s="26"/>
      <c r="T305" s="26"/>
      <c r="U305" s="26"/>
      <c r="V305" s="6" t="s">
        <v>934</v>
      </c>
    </row>
    <row r="306" spans="1:22">
      <c r="A306" s="20">
        <v>296</v>
      </c>
      <c r="B306" s="27">
        <v>46063</v>
      </c>
      <c r="C306" s="6" t="s">
        <v>935</v>
      </c>
      <c r="D306" s="6"/>
      <c r="E306" s="6" t="s">
        <v>40</v>
      </c>
      <c r="F306" s="33" t="s">
        <v>936</v>
      </c>
      <c r="G306" s="21" t="str">
        <f>RIGHT(F306,4)</f>
        <v>1928</v>
      </c>
      <c r="H306" s="22">
        <f t="shared" si="11"/>
        <v>98</v>
      </c>
      <c r="I306" s="23" t="s">
        <v>27</v>
      </c>
      <c r="J306" s="20"/>
      <c r="K306" s="6" t="s">
        <v>568</v>
      </c>
      <c r="L306" s="25"/>
      <c r="M306" s="25" t="s">
        <v>937</v>
      </c>
      <c r="N306" s="6"/>
      <c r="O306" s="6" t="s">
        <v>938</v>
      </c>
      <c r="P306" s="6">
        <v>155</v>
      </c>
      <c r="Q306" s="6">
        <v>48</v>
      </c>
      <c r="R306" s="26">
        <v>78</v>
      </c>
      <c r="S306" s="26"/>
      <c r="T306" s="26"/>
      <c r="U306" s="26"/>
      <c r="V306" s="6" t="s">
        <v>939</v>
      </c>
    </row>
    <row r="307" spans="1:22">
      <c r="A307" s="17">
        <v>297</v>
      </c>
      <c r="B307" s="27">
        <v>46063</v>
      </c>
      <c r="C307" s="6" t="s">
        <v>137</v>
      </c>
      <c r="D307" s="6"/>
      <c r="E307" s="6" t="s">
        <v>2374</v>
      </c>
      <c r="F307" s="33">
        <v>26153</v>
      </c>
      <c r="G307" s="21">
        <f>YEAR(F307)</f>
        <v>1971</v>
      </c>
      <c r="H307" s="22">
        <f t="shared" si="11"/>
        <v>55</v>
      </c>
      <c r="I307" s="23"/>
      <c r="J307" s="20" t="s">
        <v>27</v>
      </c>
      <c r="K307" s="6" t="s">
        <v>568</v>
      </c>
      <c r="L307" s="25"/>
      <c r="M307" s="25" t="s">
        <v>940</v>
      </c>
      <c r="N307" s="6"/>
      <c r="O307" s="6" t="s">
        <v>941</v>
      </c>
      <c r="P307" s="6">
        <v>152</v>
      </c>
      <c r="Q307" s="6">
        <v>65</v>
      </c>
      <c r="R307" s="26">
        <v>78</v>
      </c>
      <c r="S307" s="26"/>
      <c r="T307" s="26"/>
      <c r="U307" s="26"/>
      <c r="V307" s="6" t="s">
        <v>942</v>
      </c>
    </row>
    <row r="308" spans="1:22">
      <c r="A308" s="20">
        <v>298</v>
      </c>
      <c r="B308" s="27">
        <v>46063</v>
      </c>
      <c r="C308" s="6" t="s">
        <v>943</v>
      </c>
      <c r="D308" s="6"/>
      <c r="E308" s="6" t="s">
        <v>40</v>
      </c>
      <c r="F308" s="33">
        <v>13881</v>
      </c>
      <c r="G308" s="21">
        <f>YEAR(F308)</f>
        <v>1938</v>
      </c>
      <c r="H308" s="22">
        <f t="shared" si="11"/>
        <v>88</v>
      </c>
      <c r="I308" s="23"/>
      <c r="J308" s="20" t="s">
        <v>27</v>
      </c>
      <c r="K308" s="6" t="s">
        <v>568</v>
      </c>
      <c r="L308" s="25"/>
      <c r="M308" s="25" t="s">
        <v>944</v>
      </c>
      <c r="N308" s="6"/>
      <c r="O308" s="6" t="s">
        <v>333</v>
      </c>
      <c r="P308" s="6"/>
      <c r="Q308" s="6"/>
      <c r="R308" s="26">
        <v>80</v>
      </c>
      <c r="S308" s="26"/>
      <c r="T308" s="26"/>
      <c r="U308" s="26"/>
      <c r="V308" s="6" t="s">
        <v>945</v>
      </c>
    </row>
    <row r="309" spans="1:22">
      <c r="A309" s="17">
        <v>299</v>
      </c>
      <c r="B309" s="27">
        <v>46063</v>
      </c>
      <c r="C309" s="6" t="s">
        <v>562</v>
      </c>
      <c r="D309" s="6"/>
      <c r="E309" s="6" t="s">
        <v>40</v>
      </c>
      <c r="F309" s="33">
        <v>19360</v>
      </c>
      <c r="G309" s="21">
        <f>YEAR(F309)</f>
        <v>1953</v>
      </c>
      <c r="H309" s="22">
        <f t="shared" si="11"/>
        <v>73</v>
      </c>
      <c r="I309" s="23"/>
      <c r="J309" s="20" t="s">
        <v>27</v>
      </c>
      <c r="K309" s="6" t="s">
        <v>568</v>
      </c>
      <c r="L309" s="25"/>
      <c r="M309" s="25" t="s">
        <v>946</v>
      </c>
      <c r="N309" s="6"/>
      <c r="O309" s="6" t="s">
        <v>284</v>
      </c>
      <c r="P309" s="6">
        <v>150</v>
      </c>
      <c r="Q309" s="6">
        <v>52</v>
      </c>
      <c r="R309" s="26">
        <v>80</v>
      </c>
      <c r="S309" s="26"/>
      <c r="T309" s="26"/>
      <c r="U309" s="26"/>
      <c r="V309" s="6" t="s">
        <v>947</v>
      </c>
    </row>
    <row r="310" spans="1:22">
      <c r="A310" s="20">
        <v>300</v>
      </c>
      <c r="B310" s="27">
        <v>46063</v>
      </c>
      <c r="C310" s="6" t="s">
        <v>948</v>
      </c>
      <c r="D310" s="6"/>
      <c r="E310" s="6" t="s">
        <v>40</v>
      </c>
      <c r="F310" s="33" t="s">
        <v>949</v>
      </c>
      <c r="G310" s="21" t="str">
        <f>RIGHT(F310,4)</f>
        <v>1937</v>
      </c>
      <c r="H310" s="22">
        <f t="shared" si="11"/>
        <v>89</v>
      </c>
      <c r="I310" s="23"/>
      <c r="J310" s="20" t="s">
        <v>27</v>
      </c>
      <c r="K310" s="6" t="s">
        <v>568</v>
      </c>
      <c r="L310" s="25"/>
      <c r="M310" s="25" t="s">
        <v>950</v>
      </c>
      <c r="N310" s="6"/>
      <c r="O310" s="6" t="s">
        <v>389</v>
      </c>
      <c r="P310" s="6">
        <v>156</v>
      </c>
      <c r="Q310" s="6">
        <v>46</v>
      </c>
      <c r="R310" s="26">
        <v>78</v>
      </c>
      <c r="S310" s="26"/>
      <c r="T310" s="26"/>
      <c r="U310" s="26"/>
      <c r="V310" s="6" t="s">
        <v>951</v>
      </c>
    </row>
    <row r="311" spans="1:22">
      <c r="A311" s="17">
        <v>301</v>
      </c>
      <c r="B311" s="27">
        <v>46063</v>
      </c>
      <c r="C311" s="6" t="s">
        <v>105</v>
      </c>
      <c r="D311" s="6"/>
      <c r="E311" s="6" t="s">
        <v>40</v>
      </c>
      <c r="F311" s="33">
        <v>18325</v>
      </c>
      <c r="G311" s="21">
        <f>YEAR(F311)</f>
        <v>1950</v>
      </c>
      <c r="H311" s="22">
        <f t="shared" si="11"/>
        <v>76</v>
      </c>
      <c r="I311" s="23"/>
      <c r="J311" s="20" t="s">
        <v>27</v>
      </c>
      <c r="K311" s="6" t="s">
        <v>568</v>
      </c>
      <c r="L311" s="25"/>
      <c r="M311" s="25" t="s">
        <v>952</v>
      </c>
      <c r="N311" s="6"/>
      <c r="O311" s="6"/>
      <c r="P311" s="6">
        <v>155</v>
      </c>
      <c r="Q311" s="6">
        <v>46</v>
      </c>
      <c r="R311" s="26"/>
      <c r="S311" s="26"/>
      <c r="T311" s="26"/>
      <c r="U311" s="26"/>
      <c r="V311" s="6" t="s">
        <v>953</v>
      </c>
    </row>
    <row r="312" spans="1:22">
      <c r="A312" s="20">
        <v>302</v>
      </c>
      <c r="B312" s="27">
        <v>46063</v>
      </c>
      <c r="C312" s="6" t="s">
        <v>954</v>
      </c>
      <c r="D312" s="6"/>
      <c r="E312" s="6" t="s">
        <v>2374</v>
      </c>
      <c r="F312" s="33">
        <v>28039</v>
      </c>
      <c r="G312" s="21">
        <f>YEAR(F312)</f>
        <v>1976</v>
      </c>
      <c r="H312" s="22">
        <f t="shared" si="11"/>
        <v>50</v>
      </c>
      <c r="I312" s="23"/>
      <c r="J312" s="20" t="s">
        <v>27</v>
      </c>
      <c r="K312" s="6" t="s">
        <v>568</v>
      </c>
      <c r="L312" s="25"/>
      <c r="M312" s="25" t="s">
        <v>955</v>
      </c>
      <c r="N312" s="6"/>
      <c r="O312" s="6" t="s">
        <v>288</v>
      </c>
      <c r="P312" s="6">
        <v>150</v>
      </c>
      <c r="Q312" s="6">
        <v>52</v>
      </c>
      <c r="R312" s="26">
        <v>76</v>
      </c>
      <c r="S312" s="26"/>
      <c r="T312" s="26"/>
      <c r="U312" s="26"/>
      <c r="V312" s="6" t="s">
        <v>956</v>
      </c>
    </row>
    <row r="313" spans="1:22">
      <c r="A313" s="17">
        <v>303</v>
      </c>
      <c r="B313" s="27">
        <v>46063</v>
      </c>
      <c r="C313" s="6" t="s">
        <v>957</v>
      </c>
      <c r="D313" s="6"/>
      <c r="E313" s="6" t="s">
        <v>40</v>
      </c>
      <c r="F313" s="33">
        <v>18120</v>
      </c>
      <c r="G313" s="21">
        <f>YEAR(F313)</f>
        <v>1949</v>
      </c>
      <c r="H313" s="22">
        <f t="shared" si="11"/>
        <v>77</v>
      </c>
      <c r="I313" s="23"/>
      <c r="J313" s="20" t="s">
        <v>27</v>
      </c>
      <c r="K313" s="6" t="s">
        <v>568</v>
      </c>
      <c r="L313" s="25"/>
      <c r="M313" s="25" t="s">
        <v>958</v>
      </c>
      <c r="N313" s="6"/>
      <c r="O313" s="6" t="s">
        <v>143</v>
      </c>
      <c r="P313" s="6"/>
      <c r="Q313" s="6"/>
      <c r="R313" s="26">
        <v>78</v>
      </c>
      <c r="S313" s="26"/>
      <c r="T313" s="26"/>
      <c r="U313" s="26"/>
      <c r="V313" s="6" t="s">
        <v>959</v>
      </c>
    </row>
    <row r="314" spans="1:22">
      <c r="A314" s="20">
        <v>304</v>
      </c>
      <c r="B314" s="27">
        <v>46063</v>
      </c>
      <c r="C314" s="6" t="s">
        <v>960</v>
      </c>
      <c r="D314" s="6"/>
      <c r="E314" s="6" t="s">
        <v>40</v>
      </c>
      <c r="F314" s="33" t="s">
        <v>961</v>
      </c>
      <c r="G314" s="21" t="str">
        <f>RIGHT(F314,4)</f>
        <v>1947</v>
      </c>
      <c r="H314" s="22">
        <f t="shared" si="11"/>
        <v>79</v>
      </c>
      <c r="I314" s="23"/>
      <c r="J314" s="20" t="s">
        <v>27</v>
      </c>
      <c r="K314" s="6" t="s">
        <v>568</v>
      </c>
      <c r="L314" s="25"/>
      <c r="M314" s="25" t="s">
        <v>962</v>
      </c>
      <c r="N314" s="6"/>
      <c r="O314" s="6" t="s">
        <v>87</v>
      </c>
      <c r="P314" s="6">
        <v>148</v>
      </c>
      <c r="Q314" s="6">
        <v>41</v>
      </c>
      <c r="R314" s="26">
        <v>78</v>
      </c>
      <c r="S314" s="26"/>
      <c r="T314" s="26"/>
      <c r="U314" s="26"/>
      <c r="V314" s="6" t="s">
        <v>963</v>
      </c>
    </row>
    <row r="315" spans="1:22">
      <c r="A315" s="17">
        <v>305</v>
      </c>
      <c r="B315" s="27">
        <v>46063</v>
      </c>
      <c r="C315" s="6" t="s">
        <v>964</v>
      </c>
      <c r="D315" s="6"/>
      <c r="E315" s="6" t="s">
        <v>40</v>
      </c>
      <c r="F315" s="33">
        <v>22617</v>
      </c>
      <c r="G315" s="21">
        <f>YEAR(F315)</f>
        <v>1961</v>
      </c>
      <c r="H315" s="22">
        <f t="shared" si="11"/>
        <v>65</v>
      </c>
      <c r="I315" s="23"/>
      <c r="J315" s="20" t="s">
        <v>27</v>
      </c>
      <c r="K315" s="6" t="s">
        <v>568</v>
      </c>
      <c r="L315" s="25"/>
      <c r="M315" s="25" t="s">
        <v>965</v>
      </c>
      <c r="N315" s="6"/>
      <c r="O315" s="6" t="s">
        <v>389</v>
      </c>
      <c r="P315" s="6">
        <v>155</v>
      </c>
      <c r="Q315" s="6">
        <v>55</v>
      </c>
      <c r="R315" s="26">
        <v>78</v>
      </c>
      <c r="S315" s="26"/>
      <c r="T315" s="26"/>
      <c r="U315" s="26"/>
      <c r="V315" s="6" t="s">
        <v>966</v>
      </c>
    </row>
    <row r="316" spans="1:22">
      <c r="A316" s="20">
        <v>306</v>
      </c>
      <c r="B316" s="27">
        <v>46063</v>
      </c>
      <c r="C316" s="6" t="s">
        <v>967</v>
      </c>
      <c r="D316" s="6"/>
      <c r="E316" s="6" t="s">
        <v>2374</v>
      </c>
      <c r="F316" s="33">
        <v>27524</v>
      </c>
      <c r="G316" s="21">
        <f>YEAR(F316)</f>
        <v>1975</v>
      </c>
      <c r="H316" s="22">
        <f t="shared" si="11"/>
        <v>51</v>
      </c>
      <c r="I316" s="23"/>
      <c r="J316" s="20" t="s">
        <v>27</v>
      </c>
      <c r="K316" s="6" t="s">
        <v>596</v>
      </c>
      <c r="L316" s="25"/>
      <c r="M316" s="25" t="s">
        <v>968</v>
      </c>
      <c r="N316" s="6"/>
      <c r="O316" s="6" t="s">
        <v>87</v>
      </c>
      <c r="P316" s="6">
        <v>158</v>
      </c>
      <c r="Q316" s="6">
        <v>50</v>
      </c>
      <c r="R316" s="26">
        <v>77</v>
      </c>
      <c r="S316" s="26"/>
      <c r="T316" s="26"/>
      <c r="U316" s="26"/>
      <c r="V316" s="6" t="s">
        <v>604</v>
      </c>
    </row>
    <row r="317" spans="1:22">
      <c r="A317" s="17">
        <v>307</v>
      </c>
      <c r="B317" s="27">
        <v>46063</v>
      </c>
      <c r="C317" s="6" t="s">
        <v>969</v>
      </c>
      <c r="D317" s="6"/>
      <c r="E317" s="6" t="s">
        <v>2374</v>
      </c>
      <c r="F317" s="33" t="s">
        <v>970</v>
      </c>
      <c r="G317" s="21" t="str">
        <f>RIGHT(F317,4)</f>
        <v>1974</v>
      </c>
      <c r="H317" s="22">
        <f t="shared" si="11"/>
        <v>52</v>
      </c>
      <c r="I317" s="23"/>
      <c r="J317" s="20" t="s">
        <v>27</v>
      </c>
      <c r="K317" s="6" t="s">
        <v>596</v>
      </c>
      <c r="L317" s="25"/>
      <c r="M317" s="25" t="s">
        <v>971</v>
      </c>
      <c r="N317" s="6"/>
      <c r="O317" s="6" t="s">
        <v>930</v>
      </c>
      <c r="P317" s="6">
        <v>158</v>
      </c>
      <c r="Q317" s="6">
        <v>60</v>
      </c>
      <c r="R317" s="26">
        <v>79</v>
      </c>
      <c r="S317" s="26"/>
      <c r="T317" s="26"/>
      <c r="U317" s="26"/>
      <c r="V317" s="6" t="s">
        <v>972</v>
      </c>
    </row>
    <row r="318" spans="1:22">
      <c r="A318" s="20">
        <v>308</v>
      </c>
      <c r="B318" s="27">
        <v>46063</v>
      </c>
      <c r="C318" s="6" t="s">
        <v>973</v>
      </c>
      <c r="D318" s="6"/>
      <c r="E318" s="6" t="s">
        <v>2374</v>
      </c>
      <c r="F318" s="33">
        <v>26642</v>
      </c>
      <c r="G318" s="21">
        <f>YEAR(F318)</f>
        <v>1972</v>
      </c>
      <c r="H318" s="22">
        <f t="shared" si="11"/>
        <v>54</v>
      </c>
      <c r="I318" s="23"/>
      <c r="J318" s="20" t="s">
        <v>27</v>
      </c>
      <c r="K318" s="6" t="s">
        <v>596</v>
      </c>
      <c r="L318" s="25"/>
      <c r="M318" s="25" t="s">
        <v>974</v>
      </c>
      <c r="N318" s="6"/>
      <c r="O318" s="6" t="s">
        <v>113</v>
      </c>
      <c r="P318" s="6">
        <v>158</v>
      </c>
      <c r="Q318" s="6">
        <v>50</v>
      </c>
      <c r="R318" s="26">
        <v>78</v>
      </c>
      <c r="S318" s="26"/>
      <c r="T318" s="26"/>
      <c r="U318" s="26"/>
      <c r="V318" s="6" t="s">
        <v>975</v>
      </c>
    </row>
    <row r="319" spans="1:22">
      <c r="A319" s="17">
        <v>309</v>
      </c>
      <c r="B319" s="27">
        <v>46063</v>
      </c>
      <c r="C319" s="6" t="s">
        <v>976</v>
      </c>
      <c r="D319" s="6"/>
      <c r="E319" s="6" t="s">
        <v>2374</v>
      </c>
      <c r="F319" s="33">
        <v>26457</v>
      </c>
      <c r="G319" s="21">
        <f>YEAR(F319)</f>
        <v>1972</v>
      </c>
      <c r="H319" s="22">
        <f t="shared" si="11"/>
        <v>54</v>
      </c>
      <c r="I319" s="23"/>
      <c r="J319" s="20" t="s">
        <v>27</v>
      </c>
      <c r="K319" s="6" t="s">
        <v>596</v>
      </c>
      <c r="L319" s="25"/>
      <c r="M319" s="25" t="s">
        <v>977</v>
      </c>
      <c r="N319" s="6"/>
      <c r="O319" s="6" t="s">
        <v>978</v>
      </c>
      <c r="P319" s="6">
        <v>150</v>
      </c>
      <c r="Q319" s="6">
        <v>50</v>
      </c>
      <c r="R319" s="26">
        <v>82</v>
      </c>
      <c r="S319" s="26"/>
      <c r="T319" s="26"/>
      <c r="U319" s="26"/>
      <c r="V319" s="6" t="s">
        <v>598</v>
      </c>
    </row>
    <row r="320" spans="1:22">
      <c r="A320" s="20">
        <v>310</v>
      </c>
      <c r="B320" s="27">
        <v>46063</v>
      </c>
      <c r="C320" s="6" t="s">
        <v>979</v>
      </c>
      <c r="D320" s="6"/>
      <c r="E320" s="6" t="s">
        <v>2374</v>
      </c>
      <c r="F320" s="33">
        <v>25965</v>
      </c>
      <c r="G320" s="21">
        <f>YEAR(F320)</f>
        <v>1971</v>
      </c>
      <c r="H320" s="22">
        <f t="shared" si="11"/>
        <v>55</v>
      </c>
      <c r="I320" s="23"/>
      <c r="J320" s="20" t="s">
        <v>27</v>
      </c>
      <c r="K320" s="6" t="s">
        <v>596</v>
      </c>
      <c r="L320" s="25"/>
      <c r="M320" s="25" t="s">
        <v>980</v>
      </c>
      <c r="N320" s="6"/>
      <c r="O320" s="6" t="s">
        <v>87</v>
      </c>
      <c r="P320" s="6">
        <v>153</v>
      </c>
      <c r="Q320" s="6">
        <v>48</v>
      </c>
      <c r="R320" s="26">
        <v>80</v>
      </c>
      <c r="S320" s="26"/>
      <c r="T320" s="26"/>
      <c r="U320" s="26"/>
      <c r="V320" s="6" t="s">
        <v>598</v>
      </c>
    </row>
    <row r="321" spans="1:22">
      <c r="A321" s="17">
        <v>311</v>
      </c>
      <c r="B321" s="27">
        <v>46063</v>
      </c>
      <c r="C321" s="6" t="s">
        <v>981</v>
      </c>
      <c r="D321" s="6"/>
      <c r="E321" s="6" t="s">
        <v>2374</v>
      </c>
      <c r="F321" s="33" t="s">
        <v>982</v>
      </c>
      <c r="G321" s="21" t="str">
        <f>RIGHT(F321,4)</f>
        <v>1971</v>
      </c>
      <c r="H321" s="22">
        <f t="shared" si="11"/>
        <v>55</v>
      </c>
      <c r="I321" s="23"/>
      <c r="J321" s="20" t="s">
        <v>27</v>
      </c>
      <c r="K321" s="6" t="s">
        <v>596</v>
      </c>
      <c r="L321" s="25"/>
      <c r="M321" s="25" t="s">
        <v>983</v>
      </c>
      <c r="N321" s="6"/>
      <c r="O321" s="6" t="s">
        <v>60</v>
      </c>
      <c r="P321" s="6">
        <v>150</v>
      </c>
      <c r="Q321" s="6">
        <v>49</v>
      </c>
      <c r="R321" s="26">
        <v>77</v>
      </c>
      <c r="S321" s="26"/>
      <c r="T321" s="26"/>
      <c r="U321" s="26"/>
      <c r="V321" s="6" t="s">
        <v>984</v>
      </c>
    </row>
    <row r="322" spans="1:22">
      <c r="A322" s="20">
        <v>312</v>
      </c>
      <c r="B322" s="27">
        <v>46063</v>
      </c>
      <c r="C322" s="6" t="s">
        <v>985</v>
      </c>
      <c r="D322" s="6"/>
      <c r="E322" s="6" t="s">
        <v>2374</v>
      </c>
      <c r="F322" s="33" t="s">
        <v>986</v>
      </c>
      <c r="G322" s="21" t="str">
        <f>RIGHT(F322,4)</f>
        <v>1971</v>
      </c>
      <c r="H322" s="22">
        <f t="shared" si="11"/>
        <v>55</v>
      </c>
      <c r="I322" s="23"/>
      <c r="J322" s="20" t="s">
        <v>27</v>
      </c>
      <c r="K322" s="6" t="s">
        <v>596</v>
      </c>
      <c r="L322" s="25"/>
      <c r="M322" s="25" t="s">
        <v>987</v>
      </c>
      <c r="N322" s="6"/>
      <c r="O322" s="6" t="s">
        <v>34</v>
      </c>
      <c r="P322" s="6">
        <v>158</v>
      </c>
      <c r="Q322" s="6">
        <v>58</v>
      </c>
      <c r="R322" s="26">
        <v>80</v>
      </c>
      <c r="S322" s="26"/>
      <c r="T322" s="26"/>
      <c r="U322" s="26"/>
      <c r="V322" s="6" t="s">
        <v>984</v>
      </c>
    </row>
    <row r="323" spans="1:22">
      <c r="A323" s="17">
        <v>313</v>
      </c>
      <c r="B323" s="27">
        <v>46063</v>
      </c>
      <c r="C323" s="6" t="s">
        <v>988</v>
      </c>
      <c r="D323" s="6"/>
      <c r="E323" s="6" t="s">
        <v>2374</v>
      </c>
      <c r="F323" s="33" t="s">
        <v>989</v>
      </c>
      <c r="G323" s="21" t="str">
        <f>RIGHT(F323,4)</f>
        <v>1971</v>
      </c>
      <c r="H323" s="22">
        <f t="shared" si="11"/>
        <v>55</v>
      </c>
      <c r="I323" s="23"/>
      <c r="J323" s="20" t="s">
        <v>27</v>
      </c>
      <c r="K323" s="6" t="s">
        <v>596</v>
      </c>
      <c r="L323" s="25"/>
      <c r="M323" s="25" t="s">
        <v>990</v>
      </c>
      <c r="N323" s="6"/>
      <c r="O323" s="6" t="s">
        <v>60</v>
      </c>
      <c r="P323" s="6">
        <v>150</v>
      </c>
      <c r="Q323" s="6">
        <v>48</v>
      </c>
      <c r="R323" s="26">
        <v>80</v>
      </c>
      <c r="S323" s="26"/>
      <c r="T323" s="26"/>
      <c r="U323" s="26"/>
      <c r="V323" s="6" t="s">
        <v>598</v>
      </c>
    </row>
    <row r="324" spans="1:22">
      <c r="A324" s="20">
        <v>314</v>
      </c>
      <c r="B324" s="27">
        <v>46063</v>
      </c>
      <c r="C324" s="6" t="s">
        <v>991</v>
      </c>
      <c r="D324" s="6"/>
      <c r="E324" s="6" t="s">
        <v>2374</v>
      </c>
      <c r="F324" s="33">
        <v>25569</v>
      </c>
      <c r="G324" s="21">
        <f t="shared" ref="G324:G364" si="12">YEAR(F324)</f>
        <v>1970</v>
      </c>
      <c r="H324" s="22">
        <f t="shared" si="11"/>
        <v>56</v>
      </c>
      <c r="I324" s="23"/>
      <c r="J324" s="20" t="s">
        <v>27</v>
      </c>
      <c r="K324" s="6" t="s">
        <v>596</v>
      </c>
      <c r="L324" s="25"/>
      <c r="M324" s="25" t="s">
        <v>992</v>
      </c>
      <c r="N324" s="6"/>
      <c r="O324" s="6" t="s">
        <v>113</v>
      </c>
      <c r="P324" s="6">
        <v>148</v>
      </c>
      <c r="Q324" s="6">
        <v>45</v>
      </c>
      <c r="R324" s="26">
        <v>70</v>
      </c>
      <c r="S324" s="26"/>
      <c r="T324" s="26"/>
      <c r="U324" s="26"/>
      <c r="V324" s="6" t="s">
        <v>993</v>
      </c>
    </row>
    <row r="325" spans="1:22">
      <c r="A325" s="17">
        <v>315</v>
      </c>
      <c r="B325" s="27">
        <v>46063</v>
      </c>
      <c r="C325" s="6" t="s">
        <v>137</v>
      </c>
      <c r="D325" s="6"/>
      <c r="E325" s="6" t="s">
        <v>40</v>
      </c>
      <c r="F325" s="33">
        <v>24295</v>
      </c>
      <c r="G325" s="21">
        <f t="shared" si="12"/>
        <v>1966</v>
      </c>
      <c r="H325" s="22">
        <f t="shared" si="11"/>
        <v>60</v>
      </c>
      <c r="I325" s="23"/>
      <c r="J325" s="20" t="s">
        <v>27</v>
      </c>
      <c r="K325" s="6" t="s">
        <v>568</v>
      </c>
      <c r="L325" s="25"/>
      <c r="M325" s="25" t="s">
        <v>994</v>
      </c>
      <c r="N325" s="6"/>
      <c r="O325" s="6" t="s">
        <v>284</v>
      </c>
      <c r="P325" s="6">
        <v>145</v>
      </c>
      <c r="Q325" s="6">
        <v>49</v>
      </c>
      <c r="R325" s="26">
        <v>78</v>
      </c>
      <c r="S325" s="26"/>
      <c r="T325" s="26"/>
      <c r="U325" s="26"/>
      <c r="V325" s="6" t="s">
        <v>995</v>
      </c>
    </row>
    <row r="326" spans="1:22">
      <c r="A326" s="20">
        <v>316</v>
      </c>
      <c r="B326" s="6" t="s">
        <v>996</v>
      </c>
      <c r="C326" s="6" t="s">
        <v>997</v>
      </c>
      <c r="D326" s="6"/>
      <c r="E326" s="6" t="s">
        <v>2374</v>
      </c>
      <c r="F326" s="33">
        <v>38309</v>
      </c>
      <c r="G326" s="21">
        <f t="shared" si="12"/>
        <v>2004</v>
      </c>
      <c r="H326" s="22">
        <f t="shared" si="11"/>
        <v>22</v>
      </c>
      <c r="I326" s="23"/>
      <c r="J326" s="20" t="s">
        <v>27</v>
      </c>
      <c r="K326" s="6"/>
      <c r="L326" s="25"/>
      <c r="M326" s="25" t="s">
        <v>998</v>
      </c>
      <c r="N326" s="6"/>
      <c r="O326" s="6" t="s">
        <v>999</v>
      </c>
      <c r="P326" s="6">
        <v>155</v>
      </c>
      <c r="Q326" s="6">
        <v>43</v>
      </c>
      <c r="R326" s="26">
        <v>89</v>
      </c>
      <c r="S326" s="26"/>
      <c r="T326" s="26"/>
      <c r="U326" s="26"/>
      <c r="V326" s="6" t="s">
        <v>604</v>
      </c>
    </row>
    <row r="327" spans="1:22">
      <c r="A327" s="17">
        <v>317</v>
      </c>
      <c r="B327" s="6" t="s">
        <v>996</v>
      </c>
      <c r="C327" s="6" t="s">
        <v>1000</v>
      </c>
      <c r="D327" s="6"/>
      <c r="E327" s="51" t="s">
        <v>2374</v>
      </c>
      <c r="F327" s="33">
        <v>37893</v>
      </c>
      <c r="G327" s="21">
        <f t="shared" si="12"/>
        <v>2003</v>
      </c>
      <c r="H327" s="22">
        <f t="shared" si="11"/>
        <v>23</v>
      </c>
      <c r="I327" s="23"/>
      <c r="J327" s="20" t="s">
        <v>27</v>
      </c>
      <c r="K327" s="6"/>
      <c r="L327" s="25"/>
      <c r="M327" s="25" t="s">
        <v>1001</v>
      </c>
      <c r="N327" s="6"/>
      <c r="O327" s="6" t="s">
        <v>1002</v>
      </c>
      <c r="P327" s="6">
        <v>157</v>
      </c>
      <c r="Q327" s="6">
        <v>45</v>
      </c>
      <c r="R327" s="26">
        <v>104</v>
      </c>
      <c r="S327" s="26"/>
      <c r="T327" s="26"/>
      <c r="U327" s="26"/>
      <c r="V327" s="6" t="s">
        <v>1003</v>
      </c>
    </row>
    <row r="328" spans="1:22">
      <c r="A328" s="20">
        <v>318</v>
      </c>
      <c r="B328" s="6" t="s">
        <v>996</v>
      </c>
      <c r="C328" s="6" t="s">
        <v>1004</v>
      </c>
      <c r="D328" s="6"/>
      <c r="E328" s="6" t="s">
        <v>40</v>
      </c>
      <c r="F328" s="33">
        <v>13731</v>
      </c>
      <c r="G328" s="21">
        <f t="shared" si="12"/>
        <v>1937</v>
      </c>
      <c r="H328" s="22">
        <f t="shared" si="11"/>
        <v>89</v>
      </c>
      <c r="I328" s="23" t="s">
        <v>27</v>
      </c>
      <c r="J328" s="20"/>
      <c r="K328" s="6" t="s">
        <v>1005</v>
      </c>
      <c r="L328" s="25"/>
      <c r="M328" s="25" t="s">
        <v>1006</v>
      </c>
      <c r="N328" s="6" t="s">
        <v>1007</v>
      </c>
      <c r="O328" s="6" t="s">
        <v>284</v>
      </c>
      <c r="P328" s="6">
        <v>150</v>
      </c>
      <c r="Q328" s="6">
        <v>45</v>
      </c>
      <c r="R328" s="26">
        <v>75</v>
      </c>
      <c r="S328" s="26"/>
      <c r="T328" s="26"/>
      <c r="U328" s="26"/>
      <c r="V328" s="6" t="s">
        <v>1008</v>
      </c>
    </row>
    <row r="329" spans="1:22">
      <c r="A329" s="17">
        <v>319</v>
      </c>
      <c r="B329" s="6" t="s">
        <v>996</v>
      </c>
      <c r="C329" s="6" t="s">
        <v>1009</v>
      </c>
      <c r="D329" s="6"/>
      <c r="E329" s="6" t="s">
        <v>40</v>
      </c>
      <c r="F329" s="33">
        <v>18114</v>
      </c>
      <c r="G329" s="21">
        <f t="shared" si="12"/>
        <v>1949</v>
      </c>
      <c r="H329" s="22">
        <f t="shared" si="11"/>
        <v>77</v>
      </c>
      <c r="I329" s="23"/>
      <c r="J329" s="20" t="s">
        <v>27</v>
      </c>
      <c r="K329" s="6" t="s">
        <v>1005</v>
      </c>
      <c r="L329" s="25"/>
      <c r="M329" s="25" t="s">
        <v>1010</v>
      </c>
      <c r="N329" s="6"/>
      <c r="O329" s="6" t="s">
        <v>1011</v>
      </c>
      <c r="P329" s="6">
        <v>158</v>
      </c>
      <c r="Q329" s="6">
        <v>47</v>
      </c>
      <c r="R329" s="26">
        <v>77</v>
      </c>
      <c r="S329" s="26"/>
      <c r="T329" s="26"/>
      <c r="U329" s="26"/>
      <c r="V329" s="6" t="s">
        <v>1012</v>
      </c>
    </row>
    <row r="330" spans="1:22">
      <c r="A330" s="20">
        <v>320</v>
      </c>
      <c r="B330" s="6" t="s">
        <v>996</v>
      </c>
      <c r="C330" s="6" t="s">
        <v>1013</v>
      </c>
      <c r="D330" s="6"/>
      <c r="E330" s="6" t="s">
        <v>2374</v>
      </c>
      <c r="F330" s="33">
        <v>25477</v>
      </c>
      <c r="G330" s="21">
        <f t="shared" si="12"/>
        <v>1969</v>
      </c>
      <c r="H330" s="22">
        <f t="shared" si="11"/>
        <v>57</v>
      </c>
      <c r="I330" s="23" t="s">
        <v>27</v>
      </c>
      <c r="J330" s="20"/>
      <c r="K330" s="6" t="s">
        <v>1014</v>
      </c>
      <c r="L330" s="25"/>
      <c r="M330" s="25" t="s">
        <v>1015</v>
      </c>
      <c r="N330" s="6"/>
      <c r="O330" s="6" t="s">
        <v>60</v>
      </c>
      <c r="P330" s="6">
        <v>159</v>
      </c>
      <c r="Q330" s="6">
        <v>60</v>
      </c>
      <c r="R330" s="26">
        <v>85</v>
      </c>
      <c r="S330" s="26"/>
      <c r="T330" s="26"/>
      <c r="U330" s="26"/>
      <c r="V330" s="6" t="s">
        <v>1016</v>
      </c>
    </row>
    <row r="331" spans="1:22">
      <c r="A331" s="17">
        <v>321</v>
      </c>
      <c r="B331" s="6" t="s">
        <v>996</v>
      </c>
      <c r="C331" s="6" t="s">
        <v>1017</v>
      </c>
      <c r="D331" s="6"/>
      <c r="E331" s="6" t="s">
        <v>2374</v>
      </c>
      <c r="F331" s="33">
        <v>25729</v>
      </c>
      <c r="G331" s="21">
        <f t="shared" si="12"/>
        <v>1970</v>
      </c>
      <c r="H331" s="22">
        <f t="shared" ref="H331:H394" si="13">2026-G331</f>
        <v>56</v>
      </c>
      <c r="I331" s="23"/>
      <c r="J331" s="20" t="s">
        <v>27</v>
      </c>
      <c r="K331" s="6" t="s">
        <v>1005</v>
      </c>
      <c r="L331" s="25"/>
      <c r="M331" s="25" t="s">
        <v>1018</v>
      </c>
      <c r="N331" s="6"/>
      <c r="O331" s="6" t="s">
        <v>1019</v>
      </c>
      <c r="P331" s="6">
        <v>160</v>
      </c>
      <c r="Q331" s="6">
        <v>58</v>
      </c>
      <c r="R331" s="26">
        <v>85</v>
      </c>
      <c r="S331" s="26"/>
      <c r="T331" s="26"/>
      <c r="U331" s="26"/>
      <c r="V331" s="6" t="s">
        <v>1020</v>
      </c>
    </row>
    <row r="332" spans="1:22">
      <c r="A332" s="20">
        <v>322</v>
      </c>
      <c r="B332" s="6" t="s">
        <v>996</v>
      </c>
      <c r="C332" s="6" t="s">
        <v>1021</v>
      </c>
      <c r="D332" s="6"/>
      <c r="E332" s="6" t="s">
        <v>40</v>
      </c>
      <c r="F332" s="33">
        <v>21330</v>
      </c>
      <c r="G332" s="21">
        <f t="shared" si="12"/>
        <v>1958</v>
      </c>
      <c r="H332" s="22">
        <f t="shared" si="13"/>
        <v>68</v>
      </c>
      <c r="I332" s="23"/>
      <c r="J332" s="20" t="s">
        <v>27</v>
      </c>
      <c r="K332" s="6" t="s">
        <v>1005</v>
      </c>
      <c r="L332" s="25"/>
      <c r="M332" s="25" t="s">
        <v>1022</v>
      </c>
      <c r="N332" s="6"/>
      <c r="O332" s="6" t="s">
        <v>87</v>
      </c>
      <c r="P332" s="6">
        <v>149</v>
      </c>
      <c r="Q332" s="6">
        <v>50</v>
      </c>
      <c r="R332" s="26">
        <v>86</v>
      </c>
      <c r="S332" s="26"/>
      <c r="T332" s="26"/>
      <c r="U332" s="26"/>
      <c r="V332" s="6" t="s">
        <v>1023</v>
      </c>
    </row>
    <row r="333" spans="1:22">
      <c r="A333" s="17">
        <v>323</v>
      </c>
      <c r="B333" s="6" t="s">
        <v>996</v>
      </c>
      <c r="C333" s="6" t="s">
        <v>1024</v>
      </c>
      <c r="D333" s="6"/>
      <c r="E333" s="6" t="s">
        <v>40</v>
      </c>
      <c r="F333" s="33">
        <v>24108</v>
      </c>
      <c r="G333" s="21">
        <f t="shared" si="12"/>
        <v>1966</v>
      </c>
      <c r="H333" s="22">
        <f t="shared" si="13"/>
        <v>60</v>
      </c>
      <c r="I333" s="23"/>
      <c r="J333" s="20" t="s">
        <v>27</v>
      </c>
      <c r="K333" s="6" t="s">
        <v>1005</v>
      </c>
      <c r="L333" s="25"/>
      <c r="M333" s="25" t="s">
        <v>1025</v>
      </c>
      <c r="N333" s="6"/>
      <c r="O333" s="6" t="s">
        <v>34</v>
      </c>
      <c r="P333" s="6">
        <v>154</v>
      </c>
      <c r="Q333" s="6">
        <v>55</v>
      </c>
      <c r="R333" s="26">
        <v>70</v>
      </c>
      <c r="S333" s="26"/>
      <c r="T333" s="26"/>
      <c r="U333" s="26"/>
      <c r="V333" s="6" t="s">
        <v>1026</v>
      </c>
    </row>
    <row r="334" spans="1:22">
      <c r="A334" s="20">
        <v>324</v>
      </c>
      <c r="B334" s="6" t="s">
        <v>996</v>
      </c>
      <c r="C334" s="6" t="s">
        <v>1027</v>
      </c>
      <c r="D334" s="6"/>
      <c r="E334" s="6" t="s">
        <v>40</v>
      </c>
      <c r="F334" s="33">
        <v>23619</v>
      </c>
      <c r="G334" s="21">
        <f t="shared" si="12"/>
        <v>1964</v>
      </c>
      <c r="H334" s="22">
        <f t="shared" si="13"/>
        <v>62</v>
      </c>
      <c r="I334" s="23"/>
      <c r="J334" s="20" t="s">
        <v>27</v>
      </c>
      <c r="K334" s="6" t="s">
        <v>1005</v>
      </c>
      <c r="L334" s="25"/>
      <c r="M334" s="25" t="s">
        <v>1028</v>
      </c>
      <c r="N334" s="6"/>
      <c r="O334" s="6" t="s">
        <v>60</v>
      </c>
      <c r="P334" s="6">
        <v>163</v>
      </c>
      <c r="Q334" s="6">
        <v>55</v>
      </c>
      <c r="R334" s="26">
        <v>78</v>
      </c>
      <c r="S334" s="26"/>
      <c r="T334" s="26"/>
      <c r="U334" s="26"/>
      <c r="V334" s="6" t="s">
        <v>1029</v>
      </c>
    </row>
    <row r="335" spans="1:22">
      <c r="A335" s="17">
        <v>325</v>
      </c>
      <c r="B335" s="6" t="s">
        <v>996</v>
      </c>
      <c r="C335" s="6" t="s">
        <v>1030</v>
      </c>
      <c r="D335" s="6"/>
      <c r="E335" s="6" t="s">
        <v>40</v>
      </c>
      <c r="F335" s="33">
        <v>20286</v>
      </c>
      <c r="G335" s="21">
        <f t="shared" si="12"/>
        <v>1955</v>
      </c>
      <c r="H335" s="22">
        <f t="shared" si="13"/>
        <v>71</v>
      </c>
      <c r="I335" s="23"/>
      <c r="J335" s="20" t="s">
        <v>27</v>
      </c>
      <c r="K335" s="6" t="s">
        <v>1005</v>
      </c>
      <c r="L335" s="25"/>
      <c r="M335" s="25" t="s">
        <v>1031</v>
      </c>
      <c r="N335" s="6"/>
      <c r="O335" s="6" t="s">
        <v>1032</v>
      </c>
      <c r="P335" s="6">
        <v>155</v>
      </c>
      <c r="Q335" s="6">
        <v>44</v>
      </c>
      <c r="R335" s="26">
        <v>71</v>
      </c>
      <c r="S335" s="26"/>
      <c r="T335" s="26"/>
      <c r="U335" s="26"/>
      <c r="V335" s="6" t="s">
        <v>1033</v>
      </c>
    </row>
    <row r="336" spans="1:22">
      <c r="A336" s="20">
        <v>326</v>
      </c>
      <c r="B336" s="6" t="s">
        <v>996</v>
      </c>
      <c r="C336" s="6" t="s">
        <v>1034</v>
      </c>
      <c r="D336" s="6"/>
      <c r="E336" s="6" t="s">
        <v>40</v>
      </c>
      <c r="F336" s="33">
        <v>19759</v>
      </c>
      <c r="G336" s="21">
        <f t="shared" si="12"/>
        <v>1954</v>
      </c>
      <c r="H336" s="22">
        <f t="shared" si="13"/>
        <v>72</v>
      </c>
      <c r="I336" s="23" t="s">
        <v>27</v>
      </c>
      <c r="J336" s="20"/>
      <c r="K336" s="6" t="s">
        <v>1005</v>
      </c>
      <c r="L336" s="25"/>
      <c r="M336" s="25" t="s">
        <v>1035</v>
      </c>
      <c r="N336" s="6"/>
      <c r="O336" s="6" t="s">
        <v>1036</v>
      </c>
      <c r="P336" s="6">
        <v>149</v>
      </c>
      <c r="Q336" s="6">
        <v>49</v>
      </c>
      <c r="R336" s="26">
        <v>88</v>
      </c>
      <c r="S336" s="26"/>
      <c r="T336" s="26"/>
      <c r="U336" s="26"/>
      <c r="V336" s="6" t="s">
        <v>1037</v>
      </c>
    </row>
    <row r="337" spans="1:22">
      <c r="A337" s="17">
        <v>327</v>
      </c>
      <c r="B337" s="6" t="s">
        <v>996</v>
      </c>
      <c r="C337" s="6" t="s">
        <v>1038</v>
      </c>
      <c r="D337" s="6"/>
      <c r="E337" s="6" t="s">
        <v>40</v>
      </c>
      <c r="F337" s="33">
        <v>15888</v>
      </c>
      <c r="G337" s="21">
        <f t="shared" si="12"/>
        <v>1943</v>
      </c>
      <c r="H337" s="22">
        <f t="shared" si="13"/>
        <v>83</v>
      </c>
      <c r="I337" s="23" t="s">
        <v>27</v>
      </c>
      <c r="J337" s="20"/>
      <c r="K337" s="6" t="s">
        <v>1005</v>
      </c>
      <c r="L337" s="25"/>
      <c r="M337" s="25" t="s">
        <v>1039</v>
      </c>
      <c r="N337" s="6"/>
      <c r="O337" s="6" t="s">
        <v>1040</v>
      </c>
      <c r="P337" s="6">
        <v>147</v>
      </c>
      <c r="Q337" s="6">
        <v>36</v>
      </c>
      <c r="R337" s="26">
        <v>85</v>
      </c>
      <c r="S337" s="26"/>
      <c r="T337" s="26"/>
      <c r="U337" s="26"/>
      <c r="V337" s="6" t="s">
        <v>1041</v>
      </c>
    </row>
    <row r="338" spans="1:22">
      <c r="A338" s="20">
        <v>328</v>
      </c>
      <c r="B338" s="6" t="s">
        <v>996</v>
      </c>
      <c r="C338" s="6" t="s">
        <v>1042</v>
      </c>
      <c r="D338" s="6"/>
      <c r="E338" s="6" t="s">
        <v>2374</v>
      </c>
      <c r="F338" s="33">
        <v>30837</v>
      </c>
      <c r="G338" s="21">
        <f t="shared" si="12"/>
        <v>1984</v>
      </c>
      <c r="H338" s="22">
        <f t="shared" si="13"/>
        <v>42</v>
      </c>
      <c r="I338" s="23" t="s">
        <v>27</v>
      </c>
      <c r="J338" s="20"/>
      <c r="K338" s="6" t="s">
        <v>1014</v>
      </c>
      <c r="L338" s="25"/>
      <c r="M338" s="25" t="s">
        <v>1043</v>
      </c>
      <c r="N338" s="6"/>
      <c r="O338" s="6" t="s">
        <v>1044</v>
      </c>
      <c r="P338" s="6">
        <v>160</v>
      </c>
      <c r="Q338" s="6">
        <v>67</v>
      </c>
      <c r="R338" s="26">
        <v>111</v>
      </c>
      <c r="S338" s="26"/>
      <c r="T338" s="26"/>
      <c r="U338" s="26"/>
      <c r="V338" s="6" t="s">
        <v>1045</v>
      </c>
    </row>
    <row r="339" spans="1:22">
      <c r="A339" s="17">
        <v>329</v>
      </c>
      <c r="B339" s="6" t="s">
        <v>996</v>
      </c>
      <c r="C339" s="6" t="s">
        <v>1046</v>
      </c>
      <c r="D339" s="6"/>
      <c r="E339" s="6" t="s">
        <v>40</v>
      </c>
      <c r="F339" s="33">
        <v>17715</v>
      </c>
      <c r="G339" s="21">
        <f t="shared" si="12"/>
        <v>1948</v>
      </c>
      <c r="H339" s="22">
        <f t="shared" si="13"/>
        <v>78</v>
      </c>
      <c r="I339" s="23" t="s">
        <v>27</v>
      </c>
      <c r="J339" s="20"/>
      <c r="K339" s="6"/>
      <c r="L339" s="25"/>
      <c r="M339" s="25" t="s">
        <v>1047</v>
      </c>
      <c r="N339" s="6"/>
      <c r="O339" s="6" t="s">
        <v>1048</v>
      </c>
      <c r="P339" s="6">
        <v>169</v>
      </c>
      <c r="Q339" s="6">
        <v>60</v>
      </c>
      <c r="R339" s="26">
        <v>70</v>
      </c>
      <c r="S339" s="26"/>
      <c r="T339" s="26"/>
      <c r="U339" s="26"/>
      <c r="V339" s="6" t="s">
        <v>1049</v>
      </c>
    </row>
    <row r="340" spans="1:22">
      <c r="A340" s="20">
        <v>330</v>
      </c>
      <c r="B340" s="6" t="s">
        <v>996</v>
      </c>
      <c r="C340" s="6" t="s">
        <v>1050</v>
      </c>
      <c r="D340" s="6"/>
      <c r="E340" s="6" t="s">
        <v>2374</v>
      </c>
      <c r="F340" s="33">
        <v>26399</v>
      </c>
      <c r="G340" s="21">
        <f t="shared" si="12"/>
        <v>1972</v>
      </c>
      <c r="H340" s="22">
        <f t="shared" si="13"/>
        <v>54</v>
      </c>
      <c r="I340" s="23" t="s">
        <v>27</v>
      </c>
      <c r="J340" s="20"/>
      <c r="K340" s="6" t="s">
        <v>1005</v>
      </c>
      <c r="L340" s="25"/>
      <c r="M340" s="25" t="s">
        <v>1051</v>
      </c>
      <c r="N340" s="6"/>
      <c r="O340" s="6" t="s">
        <v>1052</v>
      </c>
      <c r="P340" s="6">
        <v>160</v>
      </c>
      <c r="Q340" s="6">
        <v>60</v>
      </c>
      <c r="R340" s="26">
        <v>78</v>
      </c>
      <c r="S340" s="26"/>
      <c r="T340" s="26"/>
      <c r="U340" s="26"/>
      <c r="V340" s="6" t="s">
        <v>1053</v>
      </c>
    </row>
    <row r="341" spans="1:22">
      <c r="A341" s="17">
        <v>331</v>
      </c>
      <c r="B341" s="6" t="s">
        <v>996</v>
      </c>
      <c r="C341" s="6" t="s">
        <v>1054</v>
      </c>
      <c r="D341" s="6"/>
      <c r="E341" s="6" t="s">
        <v>40</v>
      </c>
      <c r="F341" s="33">
        <v>23948</v>
      </c>
      <c r="G341" s="21">
        <f t="shared" si="12"/>
        <v>1965</v>
      </c>
      <c r="H341" s="22">
        <f t="shared" si="13"/>
        <v>61</v>
      </c>
      <c r="I341" s="23" t="s">
        <v>27</v>
      </c>
      <c r="J341" s="20"/>
      <c r="K341" s="6" t="s">
        <v>1005</v>
      </c>
      <c r="L341" s="25"/>
      <c r="M341" s="25" t="s">
        <v>1055</v>
      </c>
      <c r="N341" s="6"/>
      <c r="O341" s="6" t="s">
        <v>143</v>
      </c>
      <c r="P341" s="6">
        <v>160</v>
      </c>
      <c r="Q341" s="6">
        <v>57</v>
      </c>
      <c r="R341" s="26">
        <v>80</v>
      </c>
      <c r="S341" s="26"/>
      <c r="T341" s="26"/>
      <c r="U341" s="26"/>
      <c r="V341" s="6" t="s">
        <v>1056</v>
      </c>
    </row>
    <row r="342" spans="1:22">
      <c r="A342" s="20">
        <v>332</v>
      </c>
      <c r="B342" s="6" t="s">
        <v>996</v>
      </c>
      <c r="C342" s="6" t="s">
        <v>1057</v>
      </c>
      <c r="D342" s="6"/>
      <c r="E342" s="6" t="s">
        <v>2374</v>
      </c>
      <c r="F342" s="33">
        <v>27582</v>
      </c>
      <c r="G342" s="21">
        <f t="shared" si="12"/>
        <v>1975</v>
      </c>
      <c r="H342" s="22">
        <f t="shared" si="13"/>
        <v>51</v>
      </c>
      <c r="I342" s="23"/>
      <c r="J342" s="20" t="s">
        <v>27</v>
      </c>
      <c r="K342" s="6" t="s">
        <v>1005</v>
      </c>
      <c r="L342" s="25"/>
      <c r="M342" s="25" t="s">
        <v>1058</v>
      </c>
      <c r="N342" s="6"/>
      <c r="O342" s="6" t="s">
        <v>87</v>
      </c>
      <c r="P342" s="6">
        <v>155</v>
      </c>
      <c r="Q342" s="6">
        <v>48</v>
      </c>
      <c r="R342" s="26">
        <v>68</v>
      </c>
      <c r="S342" s="26"/>
      <c r="T342" s="26"/>
      <c r="U342" s="26"/>
      <c r="V342" s="6" t="s">
        <v>1059</v>
      </c>
    </row>
    <row r="343" spans="1:22">
      <c r="A343" s="17">
        <v>333</v>
      </c>
      <c r="B343" s="6" t="s">
        <v>996</v>
      </c>
      <c r="C343" s="6" t="s">
        <v>1060</v>
      </c>
      <c r="D343" s="6"/>
      <c r="E343" s="6" t="s">
        <v>2374</v>
      </c>
      <c r="F343" s="33">
        <v>25082</v>
      </c>
      <c r="G343" s="21">
        <f t="shared" si="12"/>
        <v>1968</v>
      </c>
      <c r="H343" s="22">
        <f t="shared" si="13"/>
        <v>58</v>
      </c>
      <c r="I343" s="23" t="s">
        <v>27</v>
      </c>
      <c r="J343" s="20"/>
      <c r="K343" s="6" t="s">
        <v>1005</v>
      </c>
      <c r="L343" s="25"/>
      <c r="M343" s="25" t="s">
        <v>1061</v>
      </c>
      <c r="N343" s="6"/>
      <c r="O343" s="6" t="s">
        <v>34</v>
      </c>
      <c r="P343" s="6">
        <v>150</v>
      </c>
      <c r="Q343" s="6">
        <v>43</v>
      </c>
      <c r="R343" s="26">
        <v>73</v>
      </c>
      <c r="S343" s="26"/>
      <c r="T343" s="26"/>
      <c r="U343" s="26"/>
      <c r="V343" s="6" t="s">
        <v>1062</v>
      </c>
    </row>
    <row r="344" spans="1:22" s="2" customFormat="1">
      <c r="A344" s="20">
        <v>334</v>
      </c>
      <c r="B344" s="6" t="s">
        <v>996</v>
      </c>
      <c r="C344" s="6" t="s">
        <v>1063</v>
      </c>
      <c r="D344" s="6"/>
      <c r="E344" s="6" t="s">
        <v>2374</v>
      </c>
      <c r="F344" s="33">
        <v>26727</v>
      </c>
      <c r="G344" s="21">
        <f t="shared" si="12"/>
        <v>1973</v>
      </c>
      <c r="H344" s="22">
        <f t="shared" si="13"/>
        <v>53</v>
      </c>
      <c r="I344" s="23"/>
      <c r="J344" s="20" t="s">
        <v>27</v>
      </c>
      <c r="K344" s="6" t="s">
        <v>1005</v>
      </c>
      <c r="L344" s="25"/>
      <c r="M344" s="25" t="s">
        <v>1064</v>
      </c>
      <c r="N344" s="6"/>
      <c r="O344" s="6" t="s">
        <v>288</v>
      </c>
      <c r="P344" s="6">
        <v>150</v>
      </c>
      <c r="Q344" s="6">
        <v>50</v>
      </c>
      <c r="R344" s="26">
        <v>85</v>
      </c>
      <c r="S344" s="26"/>
      <c r="T344" s="26"/>
      <c r="U344" s="26"/>
      <c r="V344" s="6" t="s">
        <v>1065</v>
      </c>
    </row>
    <row r="345" spans="1:22">
      <c r="A345" s="17">
        <v>335</v>
      </c>
      <c r="B345" s="6" t="s">
        <v>996</v>
      </c>
      <c r="C345" s="6" t="s">
        <v>1066</v>
      </c>
      <c r="D345" s="6"/>
      <c r="E345" s="6" t="s">
        <v>40</v>
      </c>
      <c r="F345" s="33">
        <v>16673</v>
      </c>
      <c r="G345" s="21">
        <f t="shared" si="12"/>
        <v>1945</v>
      </c>
      <c r="H345" s="22">
        <f t="shared" si="13"/>
        <v>81</v>
      </c>
      <c r="I345" s="23" t="s">
        <v>27</v>
      </c>
      <c r="J345" s="20"/>
      <c r="K345" s="6" t="s">
        <v>1005</v>
      </c>
      <c r="L345" s="25"/>
      <c r="M345" s="25" t="s">
        <v>1067</v>
      </c>
      <c r="N345" s="6"/>
      <c r="O345" s="6" t="s">
        <v>570</v>
      </c>
      <c r="P345" s="6">
        <v>160</v>
      </c>
      <c r="Q345" s="6">
        <v>46</v>
      </c>
      <c r="R345" s="26">
        <v>80</v>
      </c>
      <c r="S345" s="26"/>
      <c r="T345" s="26"/>
      <c r="U345" s="26"/>
      <c r="V345" s="6" t="s">
        <v>1068</v>
      </c>
    </row>
    <row r="346" spans="1:22">
      <c r="A346" s="20">
        <v>336</v>
      </c>
      <c r="B346" s="6" t="s">
        <v>996</v>
      </c>
      <c r="C346" s="6" t="s">
        <v>1069</v>
      </c>
      <c r="D346" s="6"/>
      <c r="E346" s="6" t="s">
        <v>2374</v>
      </c>
      <c r="F346" s="33">
        <v>29313</v>
      </c>
      <c r="G346" s="21">
        <f t="shared" si="12"/>
        <v>1980</v>
      </c>
      <c r="H346" s="22">
        <f t="shared" si="13"/>
        <v>46</v>
      </c>
      <c r="I346" s="23"/>
      <c r="J346" s="20" t="s">
        <v>27</v>
      </c>
      <c r="K346" s="6" t="s">
        <v>1005</v>
      </c>
      <c r="L346" s="25"/>
      <c r="M346" s="43" t="s">
        <v>1070</v>
      </c>
      <c r="N346" s="6"/>
      <c r="O346" s="6" t="s">
        <v>87</v>
      </c>
      <c r="P346" s="6">
        <v>155</v>
      </c>
      <c r="Q346" s="6">
        <v>41</v>
      </c>
      <c r="R346" s="26">
        <v>80</v>
      </c>
      <c r="S346" s="26"/>
      <c r="T346" s="26"/>
      <c r="U346" s="26"/>
      <c r="V346" s="6" t="s">
        <v>1071</v>
      </c>
    </row>
    <row r="347" spans="1:22">
      <c r="A347" s="17">
        <v>337</v>
      </c>
      <c r="B347" s="6" t="s">
        <v>996</v>
      </c>
      <c r="C347" s="6" t="s">
        <v>1072</v>
      </c>
      <c r="D347" s="6"/>
      <c r="E347" s="6" t="s">
        <v>2374</v>
      </c>
      <c r="F347" s="33">
        <v>35164</v>
      </c>
      <c r="G347" s="21">
        <f t="shared" si="12"/>
        <v>1996</v>
      </c>
      <c r="H347" s="22">
        <f t="shared" si="13"/>
        <v>30</v>
      </c>
      <c r="I347" s="23" t="s">
        <v>27</v>
      </c>
      <c r="J347" s="20"/>
      <c r="K347" s="6" t="s">
        <v>1005</v>
      </c>
      <c r="L347" s="25"/>
      <c r="M347" s="25" t="s">
        <v>1073</v>
      </c>
      <c r="N347" s="6"/>
      <c r="O347" s="6" t="s">
        <v>30</v>
      </c>
      <c r="P347" s="6">
        <v>172</v>
      </c>
      <c r="Q347" s="6">
        <v>75</v>
      </c>
      <c r="R347" s="26">
        <v>80</v>
      </c>
      <c r="S347" s="26"/>
      <c r="T347" s="26"/>
      <c r="U347" s="26"/>
      <c r="V347" s="26" t="s">
        <v>604</v>
      </c>
    </row>
    <row r="348" spans="1:22">
      <c r="A348" s="20">
        <v>338</v>
      </c>
      <c r="B348" s="6" t="s">
        <v>996</v>
      </c>
      <c r="C348" s="6" t="s">
        <v>1074</v>
      </c>
      <c r="D348" s="6"/>
      <c r="E348" s="6" t="s">
        <v>40</v>
      </c>
      <c r="F348" s="33">
        <v>24108</v>
      </c>
      <c r="G348" s="21">
        <f t="shared" si="12"/>
        <v>1966</v>
      </c>
      <c r="H348" s="22">
        <f t="shared" si="13"/>
        <v>60</v>
      </c>
      <c r="I348" s="23" t="s">
        <v>27</v>
      </c>
      <c r="J348" s="20"/>
      <c r="K348" s="6" t="s">
        <v>1005</v>
      </c>
      <c r="L348" s="25"/>
      <c r="M348" s="25" t="s">
        <v>1075</v>
      </c>
      <c r="N348" s="6"/>
      <c r="O348" s="4" t="s">
        <v>687</v>
      </c>
      <c r="P348" s="6">
        <v>165</v>
      </c>
      <c r="Q348" s="6">
        <v>43</v>
      </c>
      <c r="R348" s="26">
        <v>80</v>
      </c>
      <c r="S348" s="26"/>
      <c r="T348" s="26"/>
      <c r="U348" s="26"/>
      <c r="V348" s="6" t="s">
        <v>1076</v>
      </c>
    </row>
    <row r="349" spans="1:22">
      <c r="A349" s="17">
        <v>339</v>
      </c>
      <c r="B349" s="6" t="s">
        <v>996</v>
      </c>
      <c r="C349" s="6" t="s">
        <v>1077</v>
      </c>
      <c r="D349" s="6"/>
      <c r="E349" s="6" t="s">
        <v>40</v>
      </c>
      <c r="F349" s="33">
        <v>18843</v>
      </c>
      <c r="G349" s="21">
        <f t="shared" si="12"/>
        <v>1951</v>
      </c>
      <c r="H349" s="22">
        <f t="shared" si="13"/>
        <v>75</v>
      </c>
      <c r="I349" s="23" t="s">
        <v>27</v>
      </c>
      <c r="J349" s="20"/>
      <c r="K349" s="6" t="s">
        <v>1014</v>
      </c>
      <c r="L349" s="25"/>
      <c r="M349" s="25"/>
      <c r="N349" s="6"/>
      <c r="O349" s="6" t="s">
        <v>284</v>
      </c>
      <c r="P349" s="6">
        <v>156</v>
      </c>
      <c r="Q349" s="6">
        <v>61</v>
      </c>
      <c r="R349" s="26">
        <v>85</v>
      </c>
      <c r="S349" s="26"/>
      <c r="T349" s="26"/>
      <c r="U349" s="26"/>
      <c r="V349" s="6" t="s">
        <v>1078</v>
      </c>
    </row>
    <row r="350" spans="1:22">
      <c r="A350" s="20">
        <v>340</v>
      </c>
      <c r="B350" s="6" t="s">
        <v>996</v>
      </c>
      <c r="C350" s="6" t="s">
        <v>1079</v>
      </c>
      <c r="D350" s="6"/>
      <c r="E350" s="6" t="s">
        <v>40</v>
      </c>
      <c r="F350" s="33">
        <v>19757</v>
      </c>
      <c r="G350" s="21">
        <f t="shared" si="12"/>
        <v>1954</v>
      </c>
      <c r="H350" s="22">
        <f t="shared" si="13"/>
        <v>72</v>
      </c>
      <c r="I350" s="23" t="s">
        <v>27</v>
      </c>
      <c r="J350" s="20"/>
      <c r="K350" s="6"/>
      <c r="L350" s="25"/>
      <c r="M350" s="25" t="s">
        <v>1080</v>
      </c>
      <c r="N350" s="6"/>
      <c r="O350" s="6" t="s">
        <v>1081</v>
      </c>
      <c r="P350" s="6">
        <v>158</v>
      </c>
      <c r="Q350" s="6">
        <v>58</v>
      </c>
      <c r="R350" s="26">
        <v>80</v>
      </c>
      <c r="S350" s="26"/>
      <c r="T350" s="26"/>
      <c r="U350" s="26"/>
      <c r="V350" s="6" t="s">
        <v>1082</v>
      </c>
    </row>
    <row r="351" spans="1:22">
      <c r="A351" s="17">
        <v>341</v>
      </c>
      <c r="B351" s="6" t="s">
        <v>996</v>
      </c>
      <c r="C351" s="6" t="s">
        <v>1083</v>
      </c>
      <c r="D351" s="6"/>
      <c r="E351" s="6" t="s">
        <v>2374</v>
      </c>
      <c r="F351" s="33">
        <v>25009</v>
      </c>
      <c r="G351" s="21">
        <f t="shared" si="12"/>
        <v>1968</v>
      </c>
      <c r="H351" s="22">
        <f t="shared" si="13"/>
        <v>58</v>
      </c>
      <c r="I351" s="23" t="s">
        <v>27</v>
      </c>
      <c r="J351" s="20"/>
      <c r="K351" s="6" t="s">
        <v>1014</v>
      </c>
      <c r="L351" s="25"/>
      <c r="M351" s="25" t="s">
        <v>1084</v>
      </c>
      <c r="N351" s="6"/>
      <c r="O351" s="6" t="s">
        <v>149</v>
      </c>
      <c r="P351" s="6">
        <v>163</v>
      </c>
      <c r="Q351" s="6">
        <v>65</v>
      </c>
      <c r="R351" s="26">
        <v>80</v>
      </c>
      <c r="S351" s="26"/>
      <c r="T351" s="26"/>
      <c r="U351" s="26"/>
      <c r="V351" s="6" t="s">
        <v>1085</v>
      </c>
    </row>
    <row r="352" spans="1:22">
      <c r="A352" s="20">
        <v>342</v>
      </c>
      <c r="B352" s="6" t="s">
        <v>996</v>
      </c>
      <c r="C352" s="6" t="s">
        <v>1086</v>
      </c>
      <c r="D352" s="6"/>
      <c r="E352" s="6" t="s">
        <v>40</v>
      </c>
      <c r="F352" s="33">
        <v>18489</v>
      </c>
      <c r="G352" s="21">
        <f t="shared" si="12"/>
        <v>1950</v>
      </c>
      <c r="H352" s="22">
        <f t="shared" si="13"/>
        <v>76</v>
      </c>
      <c r="I352" s="23" t="s">
        <v>27</v>
      </c>
      <c r="J352" s="20"/>
      <c r="K352" s="6" t="s">
        <v>1005</v>
      </c>
      <c r="L352" s="25"/>
      <c r="M352" s="25" t="s">
        <v>1087</v>
      </c>
      <c r="N352" s="6"/>
      <c r="O352" s="6" t="s">
        <v>1088</v>
      </c>
      <c r="P352" s="6">
        <v>146</v>
      </c>
      <c r="Q352" s="6">
        <v>31</v>
      </c>
      <c r="R352" s="26">
        <v>80</v>
      </c>
      <c r="S352" s="26"/>
      <c r="T352" s="26"/>
      <c r="U352" s="26"/>
      <c r="V352" s="6" t="s">
        <v>1089</v>
      </c>
    </row>
    <row r="353" spans="1:22">
      <c r="A353" s="17">
        <v>343</v>
      </c>
      <c r="B353" s="6" t="s">
        <v>996</v>
      </c>
      <c r="C353" s="6" t="s">
        <v>1090</v>
      </c>
      <c r="D353" s="6"/>
      <c r="E353" s="6" t="s">
        <v>2374</v>
      </c>
      <c r="F353" s="33">
        <v>37948</v>
      </c>
      <c r="G353" s="21">
        <f t="shared" si="12"/>
        <v>2003</v>
      </c>
      <c r="H353" s="22">
        <f t="shared" si="13"/>
        <v>23</v>
      </c>
      <c r="I353" s="23"/>
      <c r="J353" s="20" t="s">
        <v>27</v>
      </c>
      <c r="K353" s="6" t="s">
        <v>1005</v>
      </c>
      <c r="L353" s="25"/>
      <c r="M353" s="25" t="s">
        <v>1091</v>
      </c>
      <c r="N353" s="6"/>
      <c r="O353" s="6" t="s">
        <v>149</v>
      </c>
      <c r="P353" s="6">
        <v>159</v>
      </c>
      <c r="Q353" s="6">
        <v>46</v>
      </c>
      <c r="R353" s="26">
        <v>80</v>
      </c>
      <c r="S353" s="26"/>
      <c r="T353" s="26"/>
      <c r="U353" s="26"/>
      <c r="V353" s="6" t="s">
        <v>1092</v>
      </c>
    </row>
    <row r="354" spans="1:22">
      <c r="A354" s="20">
        <v>344</v>
      </c>
      <c r="B354" s="6" t="s">
        <v>996</v>
      </c>
      <c r="C354" s="6" t="s">
        <v>165</v>
      </c>
      <c r="D354" s="6"/>
      <c r="E354" s="6" t="s">
        <v>40</v>
      </c>
      <c r="F354" s="33">
        <v>24708</v>
      </c>
      <c r="G354" s="21">
        <f t="shared" si="12"/>
        <v>1967</v>
      </c>
      <c r="H354" s="22">
        <f t="shared" si="13"/>
        <v>59</v>
      </c>
      <c r="I354" s="23"/>
      <c r="J354" s="20" t="s">
        <v>27</v>
      </c>
      <c r="K354" s="6" t="s">
        <v>1005</v>
      </c>
      <c r="L354" s="25"/>
      <c r="M354" s="25" t="s">
        <v>1093</v>
      </c>
      <c r="N354" s="6"/>
      <c r="O354" s="6" t="s">
        <v>30</v>
      </c>
      <c r="P354" s="6">
        <v>147</v>
      </c>
      <c r="Q354" s="6">
        <v>43</v>
      </c>
      <c r="R354" s="26">
        <v>70</v>
      </c>
      <c r="S354" s="26"/>
      <c r="T354" s="26"/>
      <c r="U354" s="26"/>
      <c r="V354" s="6" t="s">
        <v>1094</v>
      </c>
    </row>
    <row r="355" spans="1:22">
      <c r="A355" s="17">
        <v>345</v>
      </c>
      <c r="B355" s="6" t="s">
        <v>996</v>
      </c>
      <c r="C355" s="6" t="s">
        <v>1095</v>
      </c>
      <c r="D355" s="6"/>
      <c r="E355" s="6" t="s">
        <v>609</v>
      </c>
      <c r="F355" s="33">
        <v>17962</v>
      </c>
      <c r="G355" s="21">
        <f t="shared" si="12"/>
        <v>1949</v>
      </c>
      <c r="H355" s="22">
        <f t="shared" si="13"/>
        <v>77</v>
      </c>
      <c r="I355" s="23"/>
      <c r="J355" s="20" t="s">
        <v>27</v>
      </c>
      <c r="K355" s="6" t="s">
        <v>1005</v>
      </c>
      <c r="L355" s="25"/>
      <c r="M355" s="25" t="s">
        <v>1096</v>
      </c>
      <c r="N355" s="6"/>
      <c r="O355" s="6" t="s">
        <v>149</v>
      </c>
      <c r="P355" s="6">
        <v>147</v>
      </c>
      <c r="Q355" s="6">
        <v>35</v>
      </c>
      <c r="R355" s="26">
        <v>75</v>
      </c>
      <c r="S355" s="26"/>
      <c r="T355" s="26"/>
      <c r="U355" s="26"/>
      <c r="V355" s="6" t="s">
        <v>1097</v>
      </c>
    </row>
    <row r="356" spans="1:22">
      <c r="A356" s="20">
        <v>346</v>
      </c>
      <c r="B356" s="6" t="s">
        <v>996</v>
      </c>
      <c r="C356" s="6" t="s">
        <v>960</v>
      </c>
      <c r="D356" s="6"/>
      <c r="E356" s="6" t="s">
        <v>40</v>
      </c>
      <c r="F356" s="33">
        <v>21199</v>
      </c>
      <c r="G356" s="21">
        <f t="shared" si="12"/>
        <v>1958</v>
      </c>
      <c r="H356" s="22">
        <f t="shared" si="13"/>
        <v>68</v>
      </c>
      <c r="I356" s="23"/>
      <c r="J356" s="20" t="s">
        <v>27</v>
      </c>
      <c r="K356" s="6" t="s">
        <v>1005</v>
      </c>
      <c r="L356" s="25"/>
      <c r="M356" s="25" t="s">
        <v>1098</v>
      </c>
      <c r="N356" s="6"/>
      <c r="O356" s="6" t="s">
        <v>1099</v>
      </c>
      <c r="P356" s="6">
        <v>155</v>
      </c>
      <c r="Q356" s="6">
        <v>57</v>
      </c>
      <c r="R356" s="26">
        <v>80</v>
      </c>
      <c r="S356" s="26"/>
      <c r="T356" s="26"/>
      <c r="U356" s="26"/>
      <c r="V356" s="6" t="s">
        <v>1100</v>
      </c>
    </row>
    <row r="357" spans="1:22">
      <c r="A357" s="17">
        <v>347</v>
      </c>
      <c r="B357" s="6" t="s">
        <v>996</v>
      </c>
      <c r="C357" s="6" t="s">
        <v>1101</v>
      </c>
      <c r="D357" s="6"/>
      <c r="E357" s="6" t="s">
        <v>40</v>
      </c>
      <c r="F357" s="33">
        <v>23751</v>
      </c>
      <c r="G357" s="21">
        <f t="shared" si="12"/>
        <v>1965</v>
      </c>
      <c r="H357" s="22">
        <f t="shared" si="13"/>
        <v>61</v>
      </c>
      <c r="I357" s="23"/>
      <c r="J357" s="20" t="s">
        <v>27</v>
      </c>
      <c r="K357" s="6" t="s">
        <v>1005</v>
      </c>
      <c r="L357" s="25"/>
      <c r="M357" s="25" t="s">
        <v>1102</v>
      </c>
      <c r="N357" s="6"/>
      <c r="O357" s="6" t="s">
        <v>87</v>
      </c>
      <c r="P357" s="6">
        <v>145</v>
      </c>
      <c r="Q357" s="6">
        <v>35</v>
      </c>
      <c r="R357" s="26">
        <v>80</v>
      </c>
      <c r="S357" s="26"/>
      <c r="T357" s="26"/>
      <c r="U357" s="26"/>
      <c r="V357" s="6" t="s">
        <v>1103</v>
      </c>
    </row>
    <row r="358" spans="1:22">
      <c r="A358" s="20">
        <v>348</v>
      </c>
      <c r="B358" s="6" t="s">
        <v>996</v>
      </c>
      <c r="C358" s="6" t="s">
        <v>1104</v>
      </c>
      <c r="D358" s="6"/>
      <c r="E358" s="6" t="s">
        <v>40</v>
      </c>
      <c r="F358" s="33">
        <v>16091</v>
      </c>
      <c r="G358" s="21">
        <f t="shared" si="12"/>
        <v>1944</v>
      </c>
      <c r="H358" s="22">
        <f t="shared" si="13"/>
        <v>82</v>
      </c>
      <c r="I358" s="23"/>
      <c r="J358" s="20" t="s">
        <v>27</v>
      </c>
      <c r="K358" s="6" t="s">
        <v>1005</v>
      </c>
      <c r="L358" s="25"/>
      <c r="M358" s="25" t="s">
        <v>1105</v>
      </c>
      <c r="N358" s="6"/>
      <c r="O358" s="6" t="s">
        <v>143</v>
      </c>
      <c r="P358" s="6">
        <v>146</v>
      </c>
      <c r="Q358" s="6">
        <v>44</v>
      </c>
      <c r="R358" s="26">
        <v>80</v>
      </c>
      <c r="S358" s="26"/>
      <c r="T358" s="26"/>
      <c r="U358" s="26"/>
      <c r="V358" s="6" t="s">
        <v>1106</v>
      </c>
    </row>
    <row r="359" spans="1:22">
      <c r="A359" s="17">
        <v>349</v>
      </c>
      <c r="B359" s="6" t="s">
        <v>996</v>
      </c>
      <c r="C359" s="6" t="s">
        <v>1107</v>
      </c>
      <c r="D359" s="6"/>
      <c r="E359" s="6" t="s">
        <v>40</v>
      </c>
      <c r="F359" s="33">
        <v>19822</v>
      </c>
      <c r="G359" s="21">
        <f t="shared" si="12"/>
        <v>1954</v>
      </c>
      <c r="H359" s="22">
        <f t="shared" si="13"/>
        <v>72</v>
      </c>
      <c r="I359" s="23" t="s">
        <v>27</v>
      </c>
      <c r="J359" s="20"/>
      <c r="K359" s="6" t="s">
        <v>1005</v>
      </c>
      <c r="L359" s="25"/>
      <c r="M359" s="25" t="s">
        <v>1108</v>
      </c>
      <c r="N359" s="6"/>
      <c r="O359" s="6" t="s">
        <v>1109</v>
      </c>
      <c r="P359" s="6">
        <v>162</v>
      </c>
      <c r="Q359" s="6">
        <v>54</v>
      </c>
      <c r="R359" s="26">
        <v>80</v>
      </c>
      <c r="S359" s="26"/>
      <c r="T359" s="26"/>
      <c r="U359" s="26"/>
      <c r="V359" s="6" t="s">
        <v>1110</v>
      </c>
    </row>
    <row r="360" spans="1:22">
      <c r="A360" s="20">
        <v>350</v>
      </c>
      <c r="B360" s="6" t="s">
        <v>996</v>
      </c>
      <c r="C360" s="6" t="s">
        <v>1111</v>
      </c>
      <c r="D360" s="6"/>
      <c r="E360" s="6" t="s">
        <v>609</v>
      </c>
      <c r="F360" s="33">
        <v>19820</v>
      </c>
      <c r="G360" s="21">
        <f t="shared" si="12"/>
        <v>1954</v>
      </c>
      <c r="H360" s="22">
        <f t="shared" si="13"/>
        <v>72</v>
      </c>
      <c r="I360" s="23"/>
      <c r="J360" s="20" t="s">
        <v>27</v>
      </c>
      <c r="K360" s="6"/>
      <c r="L360" s="25"/>
      <c r="M360" s="25" t="s">
        <v>1112</v>
      </c>
      <c r="N360" s="6"/>
      <c r="O360" s="6" t="s">
        <v>42</v>
      </c>
      <c r="P360" s="6">
        <v>149</v>
      </c>
      <c r="Q360" s="26">
        <v>40</v>
      </c>
      <c r="R360" s="4">
        <v>80</v>
      </c>
      <c r="V360" s="6" t="s">
        <v>1113</v>
      </c>
    </row>
    <row r="361" spans="1:22">
      <c r="A361" s="17">
        <v>351</v>
      </c>
      <c r="B361" s="6" t="s">
        <v>996</v>
      </c>
      <c r="C361" s="6" t="s">
        <v>1114</v>
      </c>
      <c r="D361" s="6"/>
      <c r="E361" s="6" t="s">
        <v>40</v>
      </c>
      <c r="F361" s="33">
        <v>23908</v>
      </c>
      <c r="G361" s="21">
        <f t="shared" si="12"/>
        <v>1965</v>
      </c>
      <c r="H361" s="22">
        <f t="shared" si="13"/>
        <v>61</v>
      </c>
      <c r="I361" s="23" t="s">
        <v>27</v>
      </c>
      <c r="J361" s="20"/>
      <c r="K361" s="6" t="s">
        <v>1005</v>
      </c>
      <c r="L361" s="25"/>
      <c r="M361" s="25" t="s">
        <v>1115</v>
      </c>
      <c r="N361" s="6"/>
      <c r="O361" s="6" t="s">
        <v>87</v>
      </c>
      <c r="P361" s="6">
        <v>159</v>
      </c>
      <c r="Q361" s="26">
        <v>56.8</v>
      </c>
      <c r="R361" s="4">
        <v>78</v>
      </c>
      <c r="V361" s="6" t="s">
        <v>1116</v>
      </c>
    </row>
    <row r="362" spans="1:22">
      <c r="A362" s="20">
        <v>352</v>
      </c>
      <c r="B362" s="6" t="s">
        <v>996</v>
      </c>
      <c r="C362" s="6" t="s">
        <v>1117</v>
      </c>
      <c r="D362" s="6"/>
      <c r="E362" s="6" t="s">
        <v>40</v>
      </c>
      <c r="F362" s="33">
        <v>16011</v>
      </c>
      <c r="G362" s="21">
        <f t="shared" si="12"/>
        <v>1943</v>
      </c>
      <c r="H362" s="22">
        <f t="shared" si="13"/>
        <v>83</v>
      </c>
      <c r="I362" s="23" t="s">
        <v>27</v>
      </c>
      <c r="J362" s="20"/>
      <c r="K362" s="6" t="s">
        <v>1005</v>
      </c>
      <c r="L362" s="25"/>
      <c r="M362" s="25" t="s">
        <v>1118</v>
      </c>
      <c r="N362" s="6"/>
      <c r="O362" s="6" t="s">
        <v>1119</v>
      </c>
      <c r="P362" s="6"/>
      <c r="Q362" s="26"/>
      <c r="R362" s="4">
        <v>84</v>
      </c>
      <c r="V362" s="6" t="s">
        <v>1120</v>
      </c>
    </row>
    <row r="363" spans="1:22">
      <c r="A363" s="17">
        <v>353</v>
      </c>
      <c r="B363" s="6" t="s">
        <v>996</v>
      </c>
      <c r="C363" s="6" t="s">
        <v>1121</v>
      </c>
      <c r="D363" s="6"/>
      <c r="E363" s="6" t="s">
        <v>2374</v>
      </c>
      <c r="F363" s="33">
        <v>35431</v>
      </c>
      <c r="G363" s="21">
        <f t="shared" si="12"/>
        <v>1997</v>
      </c>
      <c r="H363" s="22">
        <f t="shared" si="13"/>
        <v>29</v>
      </c>
      <c r="I363" s="23"/>
      <c r="J363" s="20" t="s">
        <v>27</v>
      </c>
      <c r="K363" s="6" t="s">
        <v>1122</v>
      </c>
      <c r="L363" s="25"/>
      <c r="M363" s="25" t="s">
        <v>1123</v>
      </c>
      <c r="N363" s="6"/>
      <c r="O363" s="6" t="s">
        <v>113</v>
      </c>
      <c r="P363" s="6">
        <v>160</v>
      </c>
      <c r="Q363" s="6">
        <v>52</v>
      </c>
      <c r="R363" s="26">
        <v>73</v>
      </c>
      <c r="S363" s="26"/>
      <c r="T363" s="26"/>
      <c r="U363" s="26"/>
      <c r="V363" s="6" t="s">
        <v>1124</v>
      </c>
    </row>
    <row r="364" spans="1:22">
      <c r="A364" s="20">
        <v>354</v>
      </c>
      <c r="B364" s="6" t="s">
        <v>996</v>
      </c>
      <c r="C364" s="6" t="s">
        <v>1125</v>
      </c>
      <c r="D364" s="6"/>
      <c r="E364" s="6" t="s">
        <v>40</v>
      </c>
      <c r="F364" s="33">
        <v>17816</v>
      </c>
      <c r="G364" s="21">
        <f t="shared" si="12"/>
        <v>1948</v>
      </c>
      <c r="H364" s="22">
        <f t="shared" si="13"/>
        <v>78</v>
      </c>
      <c r="I364" s="23"/>
      <c r="J364" s="20" t="s">
        <v>27</v>
      </c>
      <c r="K364" s="6" t="s">
        <v>1126</v>
      </c>
      <c r="L364" s="25"/>
      <c r="M364" s="25" t="s">
        <v>1127</v>
      </c>
      <c r="N364" s="6"/>
      <c r="O364" s="6" t="s">
        <v>143</v>
      </c>
      <c r="P364" s="6">
        <v>147</v>
      </c>
      <c r="Q364" s="6">
        <v>38</v>
      </c>
      <c r="R364" s="26">
        <v>78</v>
      </c>
      <c r="S364" s="26"/>
      <c r="T364" s="26"/>
      <c r="U364" s="26"/>
      <c r="V364" s="6" t="s">
        <v>1128</v>
      </c>
    </row>
    <row r="365" spans="1:22">
      <c r="A365" s="17">
        <v>355</v>
      </c>
      <c r="B365" s="6" t="s">
        <v>996</v>
      </c>
      <c r="C365" s="6" t="s">
        <v>1129</v>
      </c>
      <c r="D365" s="6"/>
      <c r="E365" s="6" t="s">
        <v>40</v>
      </c>
      <c r="F365" s="33" t="s">
        <v>1130</v>
      </c>
      <c r="G365" s="21" t="str">
        <f>RIGHT(F365,4)</f>
        <v>1943</v>
      </c>
      <c r="H365" s="22">
        <f t="shared" si="13"/>
        <v>83</v>
      </c>
      <c r="I365" s="23" t="s">
        <v>27</v>
      </c>
      <c r="J365" s="20"/>
      <c r="K365" s="6" t="s">
        <v>1131</v>
      </c>
      <c r="L365" s="25"/>
      <c r="M365" s="25" t="s">
        <v>1132</v>
      </c>
      <c r="N365" s="6"/>
      <c r="O365" s="6" t="s">
        <v>288</v>
      </c>
      <c r="P365" s="6">
        <v>163</v>
      </c>
      <c r="Q365" s="6">
        <v>61</v>
      </c>
      <c r="R365" s="26">
        <v>80</v>
      </c>
      <c r="S365" s="26"/>
      <c r="T365" s="26"/>
      <c r="U365" s="26"/>
      <c r="V365" s="6" t="s">
        <v>1133</v>
      </c>
    </row>
    <row r="366" spans="1:22">
      <c r="A366" s="20">
        <v>356</v>
      </c>
      <c r="B366" s="6" t="s">
        <v>996</v>
      </c>
      <c r="C366" s="6" t="s">
        <v>1134</v>
      </c>
      <c r="D366" s="6"/>
      <c r="E366" s="6" t="s">
        <v>40</v>
      </c>
      <c r="F366" s="33" t="s">
        <v>1135</v>
      </c>
      <c r="G366" s="21" t="str">
        <f>RIGHT(F366,4)</f>
        <v>1950</v>
      </c>
      <c r="H366" s="22">
        <f t="shared" si="13"/>
        <v>76</v>
      </c>
      <c r="I366" s="23" t="s">
        <v>27</v>
      </c>
      <c r="J366" s="20"/>
      <c r="K366" s="6" t="s">
        <v>1126</v>
      </c>
      <c r="L366" s="25"/>
      <c r="M366" s="25" t="s">
        <v>1136</v>
      </c>
      <c r="N366" s="6"/>
      <c r="O366" s="6" t="s">
        <v>149</v>
      </c>
      <c r="P366" s="6">
        <v>160</v>
      </c>
      <c r="Q366" s="6">
        <v>52</v>
      </c>
      <c r="R366" s="26">
        <v>70</v>
      </c>
      <c r="S366" s="26"/>
      <c r="T366" s="26"/>
      <c r="U366" s="26"/>
      <c r="V366" s="6" t="s">
        <v>1137</v>
      </c>
    </row>
    <row r="367" spans="1:22">
      <c r="A367" s="17">
        <v>357</v>
      </c>
      <c r="B367" s="6" t="s">
        <v>996</v>
      </c>
      <c r="C367" s="6" t="s">
        <v>1138</v>
      </c>
      <c r="D367" s="6"/>
      <c r="E367" s="6" t="s">
        <v>40</v>
      </c>
      <c r="F367" s="33">
        <v>20738</v>
      </c>
      <c r="G367" s="21">
        <f>YEAR(F367)</f>
        <v>1956</v>
      </c>
      <c r="H367" s="22">
        <f t="shared" si="13"/>
        <v>70</v>
      </c>
      <c r="I367" s="23"/>
      <c r="J367" s="20" t="s">
        <v>27</v>
      </c>
      <c r="K367" s="6" t="s">
        <v>1126</v>
      </c>
      <c r="L367" s="25"/>
      <c r="M367" s="25" t="s">
        <v>1139</v>
      </c>
      <c r="N367" s="6"/>
      <c r="O367" s="6" t="s">
        <v>284</v>
      </c>
      <c r="P367" s="6">
        <v>156</v>
      </c>
      <c r="Q367" s="6">
        <v>50</v>
      </c>
      <c r="R367" s="26">
        <v>80</v>
      </c>
      <c r="S367" s="26"/>
      <c r="T367" s="26"/>
      <c r="U367" s="26"/>
      <c r="V367" s="6" t="s">
        <v>1140</v>
      </c>
    </row>
    <row r="368" spans="1:22">
      <c r="A368" s="20">
        <v>358</v>
      </c>
      <c r="B368" s="6" t="s">
        <v>996</v>
      </c>
      <c r="C368" s="6" t="s">
        <v>490</v>
      </c>
      <c r="D368" s="6"/>
      <c r="E368" s="6" t="s">
        <v>40</v>
      </c>
      <c r="F368" s="33" t="s">
        <v>1141</v>
      </c>
      <c r="G368" s="21" t="str">
        <f>RIGHT(F368,4)</f>
        <v>1953</v>
      </c>
      <c r="H368" s="22">
        <f t="shared" si="13"/>
        <v>73</v>
      </c>
      <c r="I368" s="23"/>
      <c r="J368" s="20" t="s">
        <v>27</v>
      </c>
      <c r="K368" s="6" t="s">
        <v>1126</v>
      </c>
      <c r="L368" s="25"/>
      <c r="M368" s="25" t="s">
        <v>1142</v>
      </c>
      <c r="N368" s="6"/>
      <c r="O368" s="6" t="s">
        <v>288</v>
      </c>
      <c r="P368" s="6">
        <v>155</v>
      </c>
      <c r="Q368" s="6">
        <v>47</v>
      </c>
      <c r="R368" s="26">
        <v>80</v>
      </c>
      <c r="S368" s="26"/>
      <c r="T368" s="26"/>
      <c r="U368" s="26"/>
      <c r="V368" s="6" t="s">
        <v>1143</v>
      </c>
    </row>
    <row r="369" spans="1:22">
      <c r="A369" s="17">
        <v>359</v>
      </c>
      <c r="B369" s="6" t="s">
        <v>996</v>
      </c>
      <c r="C369" s="6" t="s">
        <v>1144</v>
      </c>
      <c r="D369" s="6"/>
      <c r="E369" s="6" t="s">
        <v>40</v>
      </c>
      <c r="F369" s="33">
        <v>14581</v>
      </c>
      <c r="G369" s="21">
        <f>YEAR(F369)</f>
        <v>1939</v>
      </c>
      <c r="H369" s="22">
        <f t="shared" si="13"/>
        <v>87</v>
      </c>
      <c r="I369" s="23"/>
      <c r="J369" s="20" t="s">
        <v>27</v>
      </c>
      <c r="K369" s="6" t="s">
        <v>1126</v>
      </c>
      <c r="L369" s="25"/>
      <c r="M369" s="25" t="s">
        <v>1145</v>
      </c>
      <c r="N369" s="6"/>
      <c r="O369" s="6" t="s">
        <v>1146</v>
      </c>
      <c r="P369" s="6">
        <v>148</v>
      </c>
      <c r="Q369" s="6">
        <v>42</v>
      </c>
      <c r="R369" s="26">
        <v>80</v>
      </c>
      <c r="S369" s="26"/>
      <c r="T369" s="26"/>
      <c r="U369" s="26"/>
      <c r="V369" s="6" t="s">
        <v>1147</v>
      </c>
    </row>
    <row r="370" spans="1:22">
      <c r="A370" s="20">
        <v>360</v>
      </c>
      <c r="B370" s="6" t="s">
        <v>996</v>
      </c>
      <c r="C370" s="6" t="s">
        <v>1148</v>
      </c>
      <c r="D370" s="6"/>
      <c r="E370" s="6" t="s">
        <v>40</v>
      </c>
      <c r="F370" s="33">
        <v>23377</v>
      </c>
      <c r="G370" s="21">
        <f>YEAR(F370)</f>
        <v>1964</v>
      </c>
      <c r="H370" s="22">
        <f t="shared" si="13"/>
        <v>62</v>
      </c>
      <c r="I370" s="23" t="s">
        <v>27</v>
      </c>
      <c r="J370" s="20"/>
      <c r="K370" s="6" t="s">
        <v>1131</v>
      </c>
      <c r="L370" s="25"/>
      <c r="M370" s="25" t="s">
        <v>1149</v>
      </c>
      <c r="N370" s="6"/>
      <c r="O370" s="6" t="s">
        <v>284</v>
      </c>
      <c r="P370" s="6">
        <v>155</v>
      </c>
      <c r="Q370" s="6">
        <v>37</v>
      </c>
      <c r="R370" s="26">
        <v>80</v>
      </c>
      <c r="S370" s="26"/>
      <c r="T370" s="26"/>
      <c r="U370" s="26"/>
      <c r="V370" s="6" t="s">
        <v>1150</v>
      </c>
    </row>
    <row r="371" spans="1:22">
      <c r="A371" s="17">
        <v>361</v>
      </c>
      <c r="B371" s="6" t="s">
        <v>996</v>
      </c>
      <c r="C371" s="6" t="s">
        <v>1151</v>
      </c>
      <c r="D371" s="6"/>
      <c r="E371" s="6" t="s">
        <v>40</v>
      </c>
      <c r="F371" s="33">
        <v>19633</v>
      </c>
      <c r="G371" s="21">
        <f>YEAR(F371)</f>
        <v>1953</v>
      </c>
      <c r="H371" s="22">
        <f t="shared" si="13"/>
        <v>73</v>
      </c>
      <c r="I371" s="23"/>
      <c r="J371" s="20" t="s">
        <v>27</v>
      </c>
      <c r="K371" s="6" t="s">
        <v>1131</v>
      </c>
      <c r="L371" s="25"/>
      <c r="M371" s="25" t="s">
        <v>1152</v>
      </c>
      <c r="N371" s="6"/>
      <c r="O371" s="6" t="s">
        <v>288</v>
      </c>
      <c r="P371" s="6">
        <v>161</v>
      </c>
      <c r="Q371" s="6">
        <v>56</v>
      </c>
      <c r="R371" s="26">
        <v>80</v>
      </c>
      <c r="S371" s="26"/>
      <c r="T371" s="26"/>
      <c r="U371" s="26"/>
      <c r="V371" s="6" t="s">
        <v>1153</v>
      </c>
    </row>
    <row r="372" spans="1:22">
      <c r="A372" s="20">
        <v>362</v>
      </c>
      <c r="B372" s="6" t="s">
        <v>996</v>
      </c>
      <c r="C372" s="6" t="s">
        <v>1154</v>
      </c>
      <c r="D372" s="6"/>
      <c r="E372" s="6" t="s">
        <v>40</v>
      </c>
      <c r="F372" s="33">
        <v>23377</v>
      </c>
      <c r="G372" s="21">
        <f>YEAR(F372)</f>
        <v>1964</v>
      </c>
      <c r="H372" s="22">
        <f t="shared" si="13"/>
        <v>62</v>
      </c>
      <c r="I372" s="20"/>
      <c r="J372" s="20" t="s">
        <v>27</v>
      </c>
      <c r="K372" s="6" t="s">
        <v>1126</v>
      </c>
      <c r="L372" s="25"/>
      <c r="M372" s="25" t="s">
        <v>1155</v>
      </c>
      <c r="N372" s="6"/>
      <c r="O372" s="6" t="s">
        <v>34</v>
      </c>
      <c r="P372" s="6">
        <v>150</v>
      </c>
      <c r="Q372" s="6">
        <v>49</v>
      </c>
      <c r="R372" s="26">
        <v>80</v>
      </c>
      <c r="S372" s="26"/>
      <c r="T372" s="26"/>
      <c r="U372" s="26"/>
      <c r="V372" s="6" t="s">
        <v>1156</v>
      </c>
    </row>
    <row r="373" spans="1:22">
      <c r="A373" s="17">
        <v>363</v>
      </c>
      <c r="B373" s="6" t="s">
        <v>996</v>
      </c>
      <c r="C373" s="6" t="s">
        <v>1157</v>
      </c>
      <c r="D373" s="6"/>
      <c r="E373" s="6" t="s">
        <v>40</v>
      </c>
      <c r="F373" s="33" t="s">
        <v>1158</v>
      </c>
      <c r="G373" s="21" t="str">
        <f>RIGHT(F373,4)</f>
        <v>1963</v>
      </c>
      <c r="H373" s="22">
        <f t="shared" si="13"/>
        <v>63</v>
      </c>
      <c r="I373" s="23"/>
      <c r="J373" s="20" t="s">
        <v>27</v>
      </c>
      <c r="K373" s="6" t="s">
        <v>1005</v>
      </c>
      <c r="L373" s="25"/>
      <c r="M373" s="25" t="s">
        <v>1159</v>
      </c>
      <c r="N373" s="6"/>
      <c r="O373" s="6" t="s">
        <v>570</v>
      </c>
      <c r="P373" s="6">
        <v>154</v>
      </c>
      <c r="Q373" s="6">
        <v>55</v>
      </c>
      <c r="R373" s="26">
        <v>70</v>
      </c>
      <c r="S373" s="26"/>
      <c r="T373" s="26"/>
      <c r="U373" s="26"/>
      <c r="V373" s="6" t="s">
        <v>1160</v>
      </c>
    </row>
    <row r="374" spans="1:22">
      <c r="A374" s="20">
        <v>364</v>
      </c>
      <c r="B374" s="6" t="s">
        <v>996</v>
      </c>
      <c r="C374" s="6" t="s">
        <v>1161</v>
      </c>
      <c r="D374" s="6"/>
      <c r="E374" s="6" t="s">
        <v>2374</v>
      </c>
      <c r="F374" s="33">
        <v>26574</v>
      </c>
      <c r="G374" s="21">
        <f>YEAR(F374)</f>
        <v>1972</v>
      </c>
      <c r="H374" s="22">
        <f t="shared" si="13"/>
        <v>54</v>
      </c>
      <c r="I374" s="23" t="s">
        <v>27</v>
      </c>
      <c r="J374" s="20"/>
      <c r="K374" s="6" t="s">
        <v>1005</v>
      </c>
      <c r="L374" s="25"/>
      <c r="M374" s="25" t="s">
        <v>1162</v>
      </c>
      <c r="N374" s="6"/>
      <c r="O374" s="6" t="s">
        <v>570</v>
      </c>
      <c r="P374" s="6">
        <v>170</v>
      </c>
      <c r="Q374" s="6">
        <v>62</v>
      </c>
      <c r="R374" s="26">
        <v>85</v>
      </c>
      <c r="S374" s="26"/>
      <c r="T374" s="26"/>
      <c r="U374" s="26"/>
      <c r="V374" s="6" t="s">
        <v>1163</v>
      </c>
    </row>
    <row r="375" spans="1:22">
      <c r="A375" s="17">
        <v>365</v>
      </c>
      <c r="B375" s="6" t="s">
        <v>996</v>
      </c>
      <c r="C375" s="6" t="s">
        <v>1164</v>
      </c>
      <c r="D375" s="6"/>
      <c r="E375" s="6" t="s">
        <v>2374</v>
      </c>
      <c r="F375" s="33" t="s">
        <v>1165</v>
      </c>
      <c r="G375" s="21" t="str">
        <f>RIGHT(F375,4)</f>
        <v>1973</v>
      </c>
      <c r="H375" s="22">
        <f t="shared" si="13"/>
        <v>53</v>
      </c>
      <c r="I375" s="23"/>
      <c r="J375" s="20" t="s">
        <v>27</v>
      </c>
      <c r="K375" s="6" t="s">
        <v>1005</v>
      </c>
      <c r="L375" s="25"/>
      <c r="M375" s="25" t="s">
        <v>1166</v>
      </c>
      <c r="N375" s="6"/>
      <c r="O375" s="6" t="s">
        <v>1167</v>
      </c>
      <c r="P375" s="6">
        <v>165</v>
      </c>
      <c r="Q375" s="6">
        <v>52</v>
      </c>
      <c r="R375" s="26">
        <v>80</v>
      </c>
      <c r="S375" s="26"/>
      <c r="T375" s="26"/>
      <c r="U375" s="26"/>
      <c r="V375" s="6" t="s">
        <v>1168</v>
      </c>
    </row>
    <row r="376" spans="1:22">
      <c r="A376" s="20">
        <v>366</v>
      </c>
      <c r="B376" s="6" t="s">
        <v>996</v>
      </c>
      <c r="C376" s="6" t="s">
        <v>1169</v>
      </c>
      <c r="D376" s="6"/>
      <c r="E376" s="6" t="s">
        <v>40</v>
      </c>
      <c r="F376" s="33">
        <v>23902</v>
      </c>
      <c r="G376" s="21">
        <f>YEAR(F376)</f>
        <v>1965</v>
      </c>
      <c r="H376" s="22">
        <f t="shared" si="13"/>
        <v>61</v>
      </c>
      <c r="I376" s="23"/>
      <c r="J376" s="20" t="s">
        <v>27</v>
      </c>
      <c r="K376" s="6" t="s">
        <v>1005</v>
      </c>
      <c r="L376" s="25"/>
      <c r="M376" s="25" t="s">
        <v>1170</v>
      </c>
      <c r="N376" s="6"/>
      <c r="O376" s="6" t="s">
        <v>34</v>
      </c>
      <c r="P376" s="6">
        <v>153</v>
      </c>
      <c r="Q376" s="6">
        <v>65</v>
      </c>
      <c r="R376" s="26">
        <v>80</v>
      </c>
      <c r="S376" s="26"/>
      <c r="T376" s="26"/>
      <c r="U376" s="26"/>
      <c r="V376" s="6" t="s">
        <v>1171</v>
      </c>
    </row>
    <row r="377" spans="1:22">
      <c r="A377" s="17">
        <v>367</v>
      </c>
      <c r="B377" s="6" t="s">
        <v>996</v>
      </c>
      <c r="C377" s="6" t="s">
        <v>1172</v>
      </c>
      <c r="D377" s="6"/>
      <c r="E377" s="6" t="s">
        <v>40</v>
      </c>
      <c r="F377" s="33" t="s">
        <v>1173</v>
      </c>
      <c r="G377" s="21" t="str">
        <f>RIGHT(F377,4)</f>
        <v>1960</v>
      </c>
      <c r="H377" s="22">
        <f t="shared" si="13"/>
        <v>66</v>
      </c>
      <c r="I377" s="23"/>
      <c r="J377" s="20" t="s">
        <v>27</v>
      </c>
      <c r="K377" s="6" t="s">
        <v>1005</v>
      </c>
      <c r="L377" s="25"/>
      <c r="M377" s="25" t="s">
        <v>1174</v>
      </c>
      <c r="N377" s="6"/>
      <c r="O377" s="6" t="s">
        <v>1146</v>
      </c>
      <c r="P377" s="6">
        <v>155</v>
      </c>
      <c r="Q377" s="6">
        <v>50</v>
      </c>
      <c r="R377" s="26">
        <v>75</v>
      </c>
      <c r="S377" s="26"/>
      <c r="T377" s="26"/>
      <c r="U377" s="26"/>
      <c r="V377" s="6" t="s">
        <v>1175</v>
      </c>
    </row>
    <row r="378" spans="1:22">
      <c r="A378" s="20">
        <v>368</v>
      </c>
      <c r="B378" s="6" t="s">
        <v>996</v>
      </c>
      <c r="C378" s="6" t="s">
        <v>1176</v>
      </c>
      <c r="D378" s="6"/>
      <c r="E378" s="6" t="s">
        <v>40</v>
      </c>
      <c r="F378" s="33">
        <v>20860</v>
      </c>
      <c r="G378" s="21">
        <f t="shared" ref="G378:G384" si="14">YEAR(F378)</f>
        <v>1957</v>
      </c>
      <c r="H378" s="22">
        <f t="shared" si="13"/>
        <v>69</v>
      </c>
      <c r="I378" s="23"/>
      <c r="J378" s="20" t="s">
        <v>27</v>
      </c>
      <c r="K378" s="6" t="s">
        <v>1005</v>
      </c>
      <c r="L378" s="25"/>
      <c r="M378" s="25" t="s">
        <v>1177</v>
      </c>
      <c r="N378" s="6"/>
      <c r="O378" s="6" t="s">
        <v>1178</v>
      </c>
      <c r="P378" s="6">
        <v>159</v>
      </c>
      <c r="Q378" s="6">
        <v>55</v>
      </c>
      <c r="R378" s="26">
        <v>80</v>
      </c>
      <c r="S378" s="26"/>
      <c r="T378" s="26"/>
      <c r="U378" s="26"/>
      <c r="V378" s="6" t="s">
        <v>1179</v>
      </c>
    </row>
    <row r="379" spans="1:22">
      <c r="A379" s="17">
        <v>369</v>
      </c>
      <c r="B379" s="6" t="s">
        <v>996</v>
      </c>
      <c r="C379" s="6" t="s">
        <v>638</v>
      </c>
      <c r="D379" s="6"/>
      <c r="E379" s="6" t="s">
        <v>40</v>
      </c>
      <c r="F379" s="33">
        <v>23045</v>
      </c>
      <c r="G379" s="21">
        <f t="shared" si="14"/>
        <v>1963</v>
      </c>
      <c r="H379" s="22">
        <f t="shared" si="13"/>
        <v>63</v>
      </c>
      <c r="I379" s="23"/>
      <c r="J379" s="20" t="s">
        <v>27</v>
      </c>
      <c r="K379" s="6" t="s">
        <v>1005</v>
      </c>
      <c r="L379" s="25"/>
      <c r="M379" s="25" t="s">
        <v>1180</v>
      </c>
      <c r="N379" s="6"/>
      <c r="O379" s="6" t="s">
        <v>143</v>
      </c>
      <c r="P379" s="6">
        <v>145</v>
      </c>
      <c r="Q379" s="6">
        <v>40</v>
      </c>
      <c r="R379" s="26">
        <v>70</v>
      </c>
      <c r="S379" s="26"/>
      <c r="T379" s="26"/>
      <c r="U379" s="26"/>
      <c r="V379" s="6" t="s">
        <v>1181</v>
      </c>
    </row>
    <row r="380" spans="1:22">
      <c r="A380" s="20">
        <v>370</v>
      </c>
      <c r="B380" s="6" t="s">
        <v>996</v>
      </c>
      <c r="C380" s="6" t="s">
        <v>1182</v>
      </c>
      <c r="D380" s="6"/>
      <c r="E380" s="6" t="s">
        <v>40</v>
      </c>
      <c r="F380" s="33">
        <v>22194</v>
      </c>
      <c r="G380" s="21">
        <f t="shared" si="14"/>
        <v>1960</v>
      </c>
      <c r="H380" s="22">
        <f t="shared" si="13"/>
        <v>66</v>
      </c>
      <c r="I380" s="23"/>
      <c r="J380" s="20" t="s">
        <v>27</v>
      </c>
      <c r="K380" s="6" t="s">
        <v>1014</v>
      </c>
      <c r="L380" s="25"/>
      <c r="M380" s="25" t="s">
        <v>1183</v>
      </c>
      <c r="N380" s="6"/>
      <c r="O380" s="6" t="s">
        <v>570</v>
      </c>
      <c r="P380" s="6">
        <v>149</v>
      </c>
      <c r="Q380" s="6">
        <v>35</v>
      </c>
      <c r="R380" s="26">
        <v>75</v>
      </c>
      <c r="S380" s="26"/>
      <c r="T380" s="26"/>
      <c r="U380" s="26"/>
      <c r="V380" s="6" t="s">
        <v>1184</v>
      </c>
    </row>
    <row r="381" spans="1:22">
      <c r="A381" s="17">
        <v>371</v>
      </c>
      <c r="B381" s="6" t="s">
        <v>996</v>
      </c>
      <c r="C381" s="6" t="s">
        <v>1185</v>
      </c>
      <c r="D381" s="6"/>
      <c r="E381" s="6" t="s">
        <v>40</v>
      </c>
      <c r="F381" s="33">
        <v>20462</v>
      </c>
      <c r="G381" s="21">
        <f t="shared" si="14"/>
        <v>1956</v>
      </c>
      <c r="H381" s="22">
        <f t="shared" si="13"/>
        <v>70</v>
      </c>
      <c r="I381" s="23"/>
      <c r="J381" s="20" t="s">
        <v>27</v>
      </c>
      <c r="K381" s="6" t="s">
        <v>1005</v>
      </c>
      <c r="L381" s="25"/>
      <c r="M381" s="25" t="s">
        <v>1186</v>
      </c>
      <c r="N381" s="6"/>
      <c r="O381" s="6" t="s">
        <v>263</v>
      </c>
      <c r="P381" s="6">
        <v>155</v>
      </c>
      <c r="Q381" s="6">
        <v>55</v>
      </c>
      <c r="R381" s="26">
        <v>65</v>
      </c>
      <c r="S381" s="26"/>
      <c r="T381" s="26"/>
      <c r="U381" s="26"/>
      <c r="V381" s="6" t="s">
        <v>1187</v>
      </c>
    </row>
    <row r="382" spans="1:22">
      <c r="A382" s="20">
        <v>372</v>
      </c>
      <c r="B382" s="6" t="s">
        <v>996</v>
      </c>
      <c r="C382" s="6" t="s">
        <v>1188</v>
      </c>
      <c r="D382" s="6"/>
      <c r="E382" s="6" t="s">
        <v>2374</v>
      </c>
      <c r="F382" s="33">
        <v>27734</v>
      </c>
      <c r="G382" s="21">
        <f t="shared" si="14"/>
        <v>1975</v>
      </c>
      <c r="H382" s="22">
        <f t="shared" si="13"/>
        <v>51</v>
      </c>
      <c r="I382" s="23" t="s">
        <v>27</v>
      </c>
      <c r="J382" s="20"/>
      <c r="K382" s="6" t="s">
        <v>1014</v>
      </c>
      <c r="L382" s="25"/>
      <c r="M382" s="25" t="s">
        <v>1189</v>
      </c>
      <c r="N382" s="6"/>
      <c r="O382" s="6" t="s">
        <v>784</v>
      </c>
      <c r="P382" s="6">
        <v>159</v>
      </c>
      <c r="Q382" s="6">
        <v>54</v>
      </c>
      <c r="R382" s="26">
        <v>80</v>
      </c>
      <c r="S382" s="26"/>
      <c r="T382" s="26"/>
      <c r="U382" s="26"/>
      <c r="V382" s="6" t="s">
        <v>1190</v>
      </c>
    </row>
    <row r="383" spans="1:22">
      <c r="A383" s="17">
        <v>373</v>
      </c>
      <c r="B383" s="6" t="s">
        <v>996</v>
      </c>
      <c r="C383" s="6" t="s">
        <v>1191</v>
      </c>
      <c r="D383" s="6"/>
      <c r="E383" s="6" t="s">
        <v>2374</v>
      </c>
      <c r="F383" s="33">
        <v>30682</v>
      </c>
      <c r="G383" s="21">
        <f t="shared" si="14"/>
        <v>1984</v>
      </c>
      <c r="H383" s="22">
        <f t="shared" si="13"/>
        <v>42</v>
      </c>
      <c r="I383" s="23" t="s">
        <v>27</v>
      </c>
      <c r="J383" s="20"/>
      <c r="K383" s="6" t="s">
        <v>1005</v>
      </c>
      <c r="L383" s="25"/>
      <c r="M383" s="25" t="s">
        <v>1192</v>
      </c>
      <c r="N383" s="6"/>
      <c r="O383" s="6" t="s">
        <v>149</v>
      </c>
      <c r="P383" s="6">
        <v>170</v>
      </c>
      <c r="Q383" s="6">
        <v>68</v>
      </c>
      <c r="R383" s="26">
        <v>80</v>
      </c>
      <c r="S383" s="26"/>
      <c r="T383" s="26"/>
      <c r="U383" s="26"/>
      <c r="V383" s="6" t="s">
        <v>1193</v>
      </c>
    </row>
    <row r="384" spans="1:22">
      <c r="A384" s="20">
        <v>374</v>
      </c>
      <c r="B384" s="6" t="s">
        <v>996</v>
      </c>
      <c r="C384" s="6" t="s">
        <v>1194</v>
      </c>
      <c r="D384" s="6"/>
      <c r="E384" s="6" t="s">
        <v>40</v>
      </c>
      <c r="F384" s="33">
        <v>16072</v>
      </c>
      <c r="G384" s="21">
        <f t="shared" si="14"/>
        <v>1944</v>
      </c>
      <c r="H384" s="22">
        <f t="shared" si="13"/>
        <v>82</v>
      </c>
      <c r="I384" s="23"/>
      <c r="J384" s="20" t="s">
        <v>27</v>
      </c>
      <c r="K384" s="6" t="s">
        <v>1014</v>
      </c>
      <c r="L384" s="25"/>
      <c r="M384" s="25"/>
      <c r="N384" s="6"/>
      <c r="O384" s="6" t="s">
        <v>42</v>
      </c>
      <c r="P384" s="6">
        <v>152</v>
      </c>
      <c r="Q384" s="6">
        <v>49</v>
      </c>
      <c r="R384" s="26">
        <v>90</v>
      </c>
      <c r="S384" s="26"/>
      <c r="T384" s="26"/>
      <c r="U384" s="26"/>
      <c r="V384" s="6" t="s">
        <v>1195</v>
      </c>
    </row>
    <row r="385" spans="1:22">
      <c r="A385" s="17">
        <v>375</v>
      </c>
      <c r="B385" s="6" t="s">
        <v>996</v>
      </c>
      <c r="C385" s="6" t="s">
        <v>1196</v>
      </c>
      <c r="D385" s="6"/>
      <c r="E385" s="6" t="s">
        <v>40</v>
      </c>
      <c r="F385" s="33" t="s">
        <v>1197</v>
      </c>
      <c r="G385" s="21" t="str">
        <f>RIGHT(F385,4)</f>
        <v>1962</v>
      </c>
      <c r="H385" s="22">
        <f t="shared" si="13"/>
        <v>64</v>
      </c>
      <c r="I385" s="23" t="s">
        <v>27</v>
      </c>
      <c r="J385" s="20"/>
      <c r="K385" s="6" t="s">
        <v>1005</v>
      </c>
      <c r="L385" s="25"/>
      <c r="M385" s="25" t="s">
        <v>1198</v>
      </c>
      <c r="N385" s="6"/>
      <c r="O385" s="6" t="s">
        <v>42</v>
      </c>
      <c r="P385" s="6">
        <v>162</v>
      </c>
      <c r="Q385" s="6">
        <v>52</v>
      </c>
      <c r="R385" s="26">
        <v>70</v>
      </c>
      <c r="S385" s="26"/>
      <c r="T385" s="26"/>
      <c r="U385" s="26"/>
      <c r="V385" s="6" t="s">
        <v>1199</v>
      </c>
    </row>
    <row r="386" spans="1:22">
      <c r="A386" s="20">
        <v>376</v>
      </c>
      <c r="B386" s="6" t="s">
        <v>996</v>
      </c>
      <c r="C386" s="6" t="s">
        <v>1200</v>
      </c>
      <c r="D386" s="6"/>
      <c r="E386" s="6" t="s">
        <v>40</v>
      </c>
      <c r="F386" s="33">
        <v>23631</v>
      </c>
      <c r="G386" s="21">
        <f t="shared" ref="G386:G396" si="15">YEAR(F386)</f>
        <v>1964</v>
      </c>
      <c r="H386" s="22">
        <f t="shared" si="13"/>
        <v>62</v>
      </c>
      <c r="I386" s="23" t="s">
        <v>27</v>
      </c>
      <c r="J386" s="20"/>
      <c r="K386" s="6" t="s">
        <v>1005</v>
      </c>
      <c r="L386" s="25"/>
      <c r="M386" s="25" t="s">
        <v>1201</v>
      </c>
      <c r="N386" s="6"/>
      <c r="O386" s="6" t="s">
        <v>143</v>
      </c>
      <c r="P386" s="6">
        <v>146</v>
      </c>
      <c r="Q386" s="6">
        <v>60</v>
      </c>
      <c r="R386" s="26">
        <v>80</v>
      </c>
      <c r="S386" s="26"/>
      <c r="T386" s="26"/>
      <c r="U386" s="26"/>
      <c r="V386" s="6" t="s">
        <v>1202</v>
      </c>
    </row>
    <row r="387" spans="1:22">
      <c r="A387" s="17">
        <v>377</v>
      </c>
      <c r="B387" s="6" t="s">
        <v>996</v>
      </c>
      <c r="C387" s="6" t="s">
        <v>1203</v>
      </c>
      <c r="D387" s="6"/>
      <c r="E387" s="6" t="s">
        <v>2374</v>
      </c>
      <c r="F387" s="33">
        <v>29588</v>
      </c>
      <c r="G387" s="21">
        <f t="shared" si="15"/>
        <v>1981</v>
      </c>
      <c r="H387" s="22">
        <f t="shared" si="13"/>
        <v>45</v>
      </c>
      <c r="I387" s="23"/>
      <c r="J387" s="20" t="s">
        <v>27</v>
      </c>
      <c r="K387" s="6" t="s">
        <v>1005</v>
      </c>
      <c r="L387" s="25"/>
      <c r="M387" s="25"/>
      <c r="N387" s="6"/>
      <c r="O387" s="6" t="s">
        <v>504</v>
      </c>
      <c r="P387" s="6">
        <v>147</v>
      </c>
      <c r="Q387" s="6">
        <v>49</v>
      </c>
      <c r="R387" s="26">
        <v>70</v>
      </c>
      <c r="S387" s="26"/>
      <c r="T387" s="26"/>
      <c r="U387" s="26"/>
      <c r="V387" s="6" t="s">
        <v>1204</v>
      </c>
    </row>
    <row r="388" spans="1:22">
      <c r="A388" s="20">
        <v>378</v>
      </c>
      <c r="B388" s="6" t="s">
        <v>996</v>
      </c>
      <c r="C388" s="6" t="s">
        <v>1205</v>
      </c>
      <c r="D388" s="6"/>
      <c r="E388" s="6" t="s">
        <v>2374</v>
      </c>
      <c r="F388" s="33">
        <v>26211</v>
      </c>
      <c r="G388" s="21">
        <f t="shared" si="15"/>
        <v>1971</v>
      </c>
      <c r="H388" s="22">
        <f t="shared" si="13"/>
        <v>55</v>
      </c>
      <c r="I388" s="23"/>
      <c r="J388" s="20" t="s">
        <v>27</v>
      </c>
      <c r="K388" s="6" t="s">
        <v>1005</v>
      </c>
      <c r="L388" s="25"/>
      <c r="M388" s="25" t="s">
        <v>1206</v>
      </c>
      <c r="N388" s="6"/>
      <c r="O388" s="6" t="s">
        <v>143</v>
      </c>
      <c r="P388" s="6">
        <v>152</v>
      </c>
      <c r="Q388" s="6">
        <v>40</v>
      </c>
      <c r="R388" s="26">
        <v>80</v>
      </c>
      <c r="S388" s="26"/>
      <c r="T388" s="26"/>
      <c r="U388" s="26"/>
      <c r="V388" s="6" t="s">
        <v>1207</v>
      </c>
    </row>
    <row r="389" spans="1:22">
      <c r="A389" s="17">
        <v>379</v>
      </c>
      <c r="B389" s="6" t="s">
        <v>996</v>
      </c>
      <c r="C389" s="6" t="s">
        <v>1208</v>
      </c>
      <c r="D389" s="6"/>
      <c r="E389" s="6" t="s">
        <v>2374</v>
      </c>
      <c r="F389" s="33">
        <v>27578</v>
      </c>
      <c r="G389" s="21">
        <f t="shared" si="15"/>
        <v>1975</v>
      </c>
      <c r="H389" s="22">
        <f t="shared" si="13"/>
        <v>51</v>
      </c>
      <c r="I389" s="23"/>
      <c r="J389" s="20" t="s">
        <v>27</v>
      </c>
      <c r="K389" s="6" t="s">
        <v>1005</v>
      </c>
      <c r="L389" s="25"/>
      <c r="M389" s="25" t="s">
        <v>1209</v>
      </c>
      <c r="N389" s="6"/>
      <c r="O389" s="6" t="s">
        <v>284</v>
      </c>
      <c r="P389" s="6">
        <v>156</v>
      </c>
      <c r="Q389" s="6">
        <v>57</v>
      </c>
      <c r="R389" s="26">
        <v>75</v>
      </c>
      <c r="S389" s="26"/>
      <c r="T389" s="26"/>
      <c r="U389" s="26"/>
      <c r="V389" s="6" t="s">
        <v>1210</v>
      </c>
    </row>
    <row r="390" spans="1:22">
      <c r="A390" s="20">
        <v>380</v>
      </c>
      <c r="B390" s="6" t="s">
        <v>996</v>
      </c>
      <c r="C390" s="6" t="s">
        <v>915</v>
      </c>
      <c r="D390" s="6"/>
      <c r="E390" s="6" t="s">
        <v>40</v>
      </c>
      <c r="F390" s="33">
        <v>19788</v>
      </c>
      <c r="G390" s="21">
        <f t="shared" si="15"/>
        <v>1954</v>
      </c>
      <c r="H390" s="22">
        <f t="shared" si="13"/>
        <v>72</v>
      </c>
      <c r="I390" s="23"/>
      <c r="J390" s="20" t="s">
        <v>27</v>
      </c>
      <c r="K390" s="6" t="s">
        <v>1005</v>
      </c>
      <c r="L390" s="25"/>
      <c r="M390" s="25" t="s">
        <v>1211</v>
      </c>
      <c r="N390" s="6"/>
      <c r="O390" s="6" t="s">
        <v>389</v>
      </c>
      <c r="P390" s="6">
        <v>161</v>
      </c>
      <c r="Q390" s="6">
        <v>52</v>
      </c>
      <c r="R390" s="26">
        <v>80</v>
      </c>
      <c r="S390" s="26"/>
      <c r="T390" s="26"/>
      <c r="U390" s="26"/>
      <c r="V390" s="6" t="s">
        <v>1212</v>
      </c>
    </row>
    <row r="391" spans="1:22">
      <c r="A391" s="17">
        <v>381</v>
      </c>
      <c r="B391" s="6" t="s">
        <v>996</v>
      </c>
      <c r="C391" s="6" t="s">
        <v>1213</v>
      </c>
      <c r="D391" s="6"/>
      <c r="E391" s="6" t="s">
        <v>2374</v>
      </c>
      <c r="F391" s="33">
        <v>24507</v>
      </c>
      <c r="G391" s="21">
        <f t="shared" si="15"/>
        <v>1967</v>
      </c>
      <c r="H391" s="22">
        <f t="shared" si="13"/>
        <v>59</v>
      </c>
      <c r="I391" s="23" t="s">
        <v>27</v>
      </c>
      <c r="J391" s="20"/>
      <c r="K391" s="6" t="s">
        <v>1005</v>
      </c>
      <c r="L391" s="25"/>
      <c r="M391" s="25" t="s">
        <v>1214</v>
      </c>
      <c r="N391" s="6"/>
      <c r="O391" s="6" t="s">
        <v>60</v>
      </c>
      <c r="P391" s="6">
        <v>166</v>
      </c>
      <c r="Q391" s="6">
        <v>45</v>
      </c>
      <c r="R391" s="26">
        <v>80</v>
      </c>
      <c r="S391" s="26"/>
      <c r="T391" s="26"/>
      <c r="U391" s="26"/>
      <c r="V391" s="6" t="s">
        <v>1215</v>
      </c>
    </row>
    <row r="392" spans="1:22">
      <c r="A392" s="20">
        <v>382</v>
      </c>
      <c r="B392" s="6" t="s">
        <v>996</v>
      </c>
      <c r="C392" s="6" t="s">
        <v>1216</v>
      </c>
      <c r="D392" s="6"/>
      <c r="E392" s="6" t="s">
        <v>2374</v>
      </c>
      <c r="F392" s="33">
        <v>25204</v>
      </c>
      <c r="G392" s="21">
        <f t="shared" si="15"/>
        <v>1969</v>
      </c>
      <c r="H392" s="22">
        <f t="shared" si="13"/>
        <v>57</v>
      </c>
      <c r="I392" s="23"/>
      <c r="J392" s="20" t="s">
        <v>27</v>
      </c>
      <c r="K392" s="6" t="s">
        <v>1005</v>
      </c>
      <c r="L392" s="25"/>
      <c r="M392" s="25" t="s">
        <v>1217</v>
      </c>
      <c r="N392" s="6"/>
      <c r="O392" s="6" t="s">
        <v>104</v>
      </c>
      <c r="P392" s="6">
        <v>145</v>
      </c>
      <c r="Q392" s="6">
        <v>39</v>
      </c>
      <c r="R392" s="26">
        <v>90</v>
      </c>
      <c r="S392" s="26"/>
      <c r="T392" s="26"/>
      <c r="U392" s="26"/>
      <c r="V392" s="6" t="s">
        <v>1218</v>
      </c>
    </row>
    <row r="393" spans="1:22">
      <c r="A393" s="17">
        <v>383</v>
      </c>
      <c r="B393" s="6" t="s">
        <v>996</v>
      </c>
      <c r="C393" s="6" t="s">
        <v>1219</v>
      </c>
      <c r="D393" s="6"/>
      <c r="E393" s="6" t="s">
        <v>2374</v>
      </c>
      <c r="F393" s="33">
        <v>24473</v>
      </c>
      <c r="G393" s="21">
        <f t="shared" si="15"/>
        <v>1967</v>
      </c>
      <c r="H393" s="22">
        <f t="shared" si="13"/>
        <v>59</v>
      </c>
      <c r="I393" s="23" t="s">
        <v>27</v>
      </c>
      <c r="J393" s="20"/>
      <c r="K393" s="6" t="s">
        <v>1005</v>
      </c>
      <c r="L393" s="25"/>
      <c r="M393" s="25" t="s">
        <v>1220</v>
      </c>
      <c r="N393" s="6"/>
      <c r="O393" s="6" t="s">
        <v>60</v>
      </c>
      <c r="P393" s="6">
        <v>166</v>
      </c>
      <c r="Q393" s="6">
        <v>61</v>
      </c>
      <c r="R393" s="26">
        <v>75</v>
      </c>
      <c r="S393" s="26"/>
      <c r="T393" s="26"/>
      <c r="U393" s="26"/>
      <c r="V393" s="6" t="s">
        <v>1221</v>
      </c>
    </row>
    <row r="394" spans="1:22">
      <c r="A394" s="20">
        <v>384</v>
      </c>
      <c r="B394" s="6" t="s">
        <v>996</v>
      </c>
      <c r="C394" s="6" t="s">
        <v>1222</v>
      </c>
      <c r="D394" s="6"/>
      <c r="E394" s="6" t="s">
        <v>2374</v>
      </c>
      <c r="F394" s="33">
        <v>24511</v>
      </c>
      <c r="G394" s="21">
        <f t="shared" si="15"/>
        <v>1967</v>
      </c>
      <c r="H394" s="22">
        <f t="shared" si="13"/>
        <v>59</v>
      </c>
      <c r="I394" s="23" t="s">
        <v>27</v>
      </c>
      <c r="J394" s="20"/>
      <c r="K394" s="6" t="s">
        <v>1005</v>
      </c>
      <c r="L394" s="25"/>
      <c r="M394" s="25" t="s">
        <v>1223</v>
      </c>
      <c r="N394" s="6"/>
      <c r="O394" s="6" t="s">
        <v>60</v>
      </c>
      <c r="P394" s="6">
        <v>170</v>
      </c>
      <c r="Q394" s="6">
        <v>57</v>
      </c>
      <c r="R394" s="26">
        <v>80</v>
      </c>
      <c r="S394" s="26"/>
      <c r="T394" s="26"/>
      <c r="U394" s="26"/>
      <c r="V394" s="6" t="s">
        <v>1224</v>
      </c>
    </row>
    <row r="395" spans="1:22">
      <c r="A395" s="17">
        <v>385</v>
      </c>
      <c r="B395" s="6" t="s">
        <v>996</v>
      </c>
      <c r="C395" s="6" t="s">
        <v>1225</v>
      </c>
      <c r="D395" s="6"/>
      <c r="E395" s="6" t="s">
        <v>2374</v>
      </c>
      <c r="F395" s="33">
        <v>25569</v>
      </c>
      <c r="G395" s="21">
        <f t="shared" si="15"/>
        <v>1970</v>
      </c>
      <c r="H395" s="22">
        <f t="shared" ref="H395:H458" si="16">2026-G395</f>
        <v>56</v>
      </c>
      <c r="I395" s="23" t="s">
        <v>27</v>
      </c>
      <c r="J395" s="20"/>
      <c r="K395" s="6" t="s">
        <v>1005</v>
      </c>
      <c r="L395" s="25"/>
      <c r="M395" s="25" t="s">
        <v>1226</v>
      </c>
      <c r="N395" s="6"/>
      <c r="O395" s="6" t="s">
        <v>418</v>
      </c>
      <c r="P395" s="6">
        <v>165</v>
      </c>
      <c r="Q395" s="6">
        <v>50</v>
      </c>
      <c r="R395" s="26">
        <v>65</v>
      </c>
      <c r="S395" s="26"/>
      <c r="T395" s="26"/>
      <c r="U395" s="26"/>
      <c r="V395" s="6" t="s">
        <v>1227</v>
      </c>
    </row>
    <row r="396" spans="1:22">
      <c r="A396" s="20">
        <v>386</v>
      </c>
      <c r="B396" s="6" t="s">
        <v>1228</v>
      </c>
      <c r="C396" s="6" t="s">
        <v>1229</v>
      </c>
      <c r="D396" s="6"/>
      <c r="E396" s="6" t="s">
        <v>40</v>
      </c>
      <c r="F396" s="33">
        <v>15680</v>
      </c>
      <c r="G396" s="21">
        <f t="shared" si="15"/>
        <v>1942</v>
      </c>
      <c r="H396" s="22">
        <f t="shared" si="16"/>
        <v>84</v>
      </c>
      <c r="I396" s="23"/>
      <c r="J396" s="20" t="s">
        <v>27</v>
      </c>
      <c r="K396" s="6" t="s">
        <v>1230</v>
      </c>
      <c r="L396" s="25"/>
      <c r="M396" s="25" t="s">
        <v>1231</v>
      </c>
      <c r="N396" s="6"/>
      <c r="O396" s="6"/>
      <c r="P396" s="6"/>
      <c r="Q396" s="6"/>
      <c r="R396" s="26"/>
      <c r="S396" s="26"/>
      <c r="T396" s="26"/>
      <c r="U396" s="26"/>
      <c r="V396" s="6" t="s">
        <v>1232</v>
      </c>
    </row>
    <row r="397" spans="1:22">
      <c r="A397" s="17">
        <v>387</v>
      </c>
      <c r="B397" s="6" t="s">
        <v>1228</v>
      </c>
      <c r="C397" s="6" t="s">
        <v>1233</v>
      </c>
      <c r="D397" s="6"/>
      <c r="E397" s="6" t="s">
        <v>40</v>
      </c>
      <c r="F397" s="33" t="s">
        <v>1234</v>
      </c>
      <c r="G397" s="21" t="str">
        <f>RIGHT(F397,4)</f>
        <v>1936</v>
      </c>
      <c r="H397" s="22">
        <f t="shared" si="16"/>
        <v>90</v>
      </c>
      <c r="I397" s="23"/>
      <c r="J397" s="20" t="s">
        <v>27</v>
      </c>
      <c r="K397" s="6" t="s">
        <v>1230</v>
      </c>
      <c r="L397" s="25"/>
      <c r="M397" s="25" t="s">
        <v>1235</v>
      </c>
      <c r="N397" s="6"/>
      <c r="O397" s="6" t="s">
        <v>504</v>
      </c>
      <c r="P397" s="6">
        <v>140</v>
      </c>
      <c r="Q397" s="6">
        <v>40</v>
      </c>
      <c r="R397" s="26">
        <v>80</v>
      </c>
      <c r="S397" s="26"/>
      <c r="T397" s="26"/>
      <c r="U397" s="26"/>
      <c r="V397" s="6" t="s">
        <v>1236</v>
      </c>
    </row>
    <row r="398" spans="1:22">
      <c r="A398" s="20">
        <v>388</v>
      </c>
      <c r="B398" s="6" t="s">
        <v>1228</v>
      </c>
      <c r="C398" s="6" t="s">
        <v>1237</v>
      </c>
      <c r="D398" s="6"/>
      <c r="E398" s="6" t="s">
        <v>2374</v>
      </c>
      <c r="F398" s="33" t="s">
        <v>1238</v>
      </c>
      <c r="G398" s="21" t="str">
        <f>RIGHT(F398,4)</f>
        <v>1970</v>
      </c>
      <c r="H398" s="22">
        <f t="shared" si="16"/>
        <v>56</v>
      </c>
      <c r="I398" s="23" t="s">
        <v>27</v>
      </c>
      <c r="J398" s="20"/>
      <c r="K398" s="6" t="s">
        <v>1230</v>
      </c>
      <c r="L398" s="25"/>
      <c r="M398" s="25" t="s">
        <v>1239</v>
      </c>
      <c r="N398" s="6"/>
      <c r="O398" s="6" t="s">
        <v>30</v>
      </c>
      <c r="P398" s="6">
        <v>160</v>
      </c>
      <c r="Q398" s="6">
        <v>48</v>
      </c>
      <c r="R398" s="26">
        <v>75</v>
      </c>
      <c r="S398" s="26"/>
      <c r="T398" s="26"/>
      <c r="U398" s="26"/>
      <c r="V398" s="6" t="s">
        <v>604</v>
      </c>
    </row>
    <row r="399" spans="1:22">
      <c r="A399" s="17">
        <v>389</v>
      </c>
      <c r="B399" s="6" t="s">
        <v>1228</v>
      </c>
      <c r="C399" s="6" t="s">
        <v>1240</v>
      </c>
      <c r="D399" s="6"/>
      <c r="E399" s="6" t="s">
        <v>40</v>
      </c>
      <c r="F399" s="33">
        <v>13791</v>
      </c>
      <c r="G399" s="21">
        <f>YEAR(F399)</f>
        <v>1937</v>
      </c>
      <c r="H399" s="22">
        <f t="shared" si="16"/>
        <v>89</v>
      </c>
      <c r="I399" s="23"/>
      <c r="J399" s="20" t="s">
        <v>27</v>
      </c>
      <c r="K399" s="6" t="s">
        <v>1230</v>
      </c>
      <c r="L399" s="25"/>
      <c r="M399" s="25" t="s">
        <v>1241</v>
      </c>
      <c r="N399" s="6"/>
      <c r="O399" s="6"/>
      <c r="P399" s="6"/>
      <c r="Q399" s="6"/>
      <c r="R399" s="26"/>
      <c r="S399" s="26"/>
      <c r="T399" s="26"/>
      <c r="U399" s="26"/>
      <c r="V399" s="6" t="s">
        <v>1242</v>
      </c>
    </row>
    <row r="400" spans="1:22">
      <c r="A400" s="20">
        <v>390</v>
      </c>
      <c r="B400" s="6" t="s">
        <v>1228</v>
      </c>
      <c r="C400" s="6" t="s">
        <v>1243</v>
      </c>
      <c r="D400" s="6"/>
      <c r="E400" s="6" t="s">
        <v>2374</v>
      </c>
      <c r="F400" s="33">
        <v>26665</v>
      </c>
      <c r="G400" s="21">
        <f>YEAR(F400)</f>
        <v>1973</v>
      </c>
      <c r="H400" s="22">
        <f t="shared" si="16"/>
        <v>53</v>
      </c>
      <c r="I400" s="23"/>
      <c r="J400" s="20" t="s">
        <v>27</v>
      </c>
      <c r="K400" s="6"/>
      <c r="L400" s="25"/>
      <c r="M400" s="25"/>
      <c r="N400" s="6"/>
      <c r="O400" s="6" t="s">
        <v>536</v>
      </c>
      <c r="P400" s="6"/>
      <c r="Q400" s="6"/>
      <c r="R400" s="26"/>
      <c r="S400" s="26"/>
      <c r="T400" s="26"/>
      <c r="U400" s="26"/>
      <c r="V400" s="6" t="s">
        <v>1244</v>
      </c>
    </row>
    <row r="401" spans="1:22">
      <c r="A401" s="17">
        <v>391</v>
      </c>
      <c r="B401" s="6" t="s">
        <v>1228</v>
      </c>
      <c r="C401" s="6" t="s">
        <v>1245</v>
      </c>
      <c r="D401" s="6"/>
      <c r="E401" s="6" t="s">
        <v>40</v>
      </c>
      <c r="F401" s="33">
        <v>15685</v>
      </c>
      <c r="G401" s="21">
        <f>YEAR(F401)</f>
        <v>1942</v>
      </c>
      <c r="H401" s="22">
        <f t="shared" si="16"/>
        <v>84</v>
      </c>
      <c r="I401" s="23" t="s">
        <v>27</v>
      </c>
      <c r="J401" s="20"/>
      <c r="K401" s="6" t="s">
        <v>1230</v>
      </c>
      <c r="L401" s="25"/>
      <c r="M401" s="25" t="s">
        <v>1246</v>
      </c>
      <c r="N401" s="6"/>
      <c r="O401" s="6" t="s">
        <v>149</v>
      </c>
      <c r="P401" s="6">
        <v>140</v>
      </c>
      <c r="Q401" s="6">
        <v>39</v>
      </c>
      <c r="R401" s="26">
        <v>84</v>
      </c>
      <c r="S401" s="26"/>
      <c r="T401" s="26"/>
      <c r="U401" s="26"/>
      <c r="V401" s="6" t="s">
        <v>1247</v>
      </c>
    </row>
    <row r="402" spans="1:22">
      <c r="A402" s="20">
        <v>392</v>
      </c>
      <c r="B402" s="6" t="s">
        <v>1228</v>
      </c>
      <c r="C402" s="6" t="s">
        <v>1248</v>
      </c>
      <c r="D402" s="6"/>
      <c r="E402" s="6" t="s">
        <v>2374</v>
      </c>
      <c r="F402" s="33">
        <v>26643</v>
      </c>
      <c r="G402" s="21">
        <f>YEAR(F402)</f>
        <v>1972</v>
      </c>
      <c r="H402" s="22">
        <f t="shared" si="16"/>
        <v>54</v>
      </c>
      <c r="I402" s="23" t="s">
        <v>27</v>
      </c>
      <c r="J402" s="20"/>
      <c r="K402" s="6" t="s">
        <v>1230</v>
      </c>
      <c r="L402" s="25"/>
      <c r="M402" s="25" t="s">
        <v>1249</v>
      </c>
      <c r="N402" s="6"/>
      <c r="O402" s="6" t="s">
        <v>60</v>
      </c>
      <c r="P402" s="6"/>
      <c r="Q402" s="6"/>
      <c r="R402" s="26"/>
      <c r="S402" s="26"/>
      <c r="T402" s="26"/>
      <c r="U402" s="26"/>
      <c r="V402" s="6" t="s">
        <v>1250</v>
      </c>
    </row>
    <row r="403" spans="1:22">
      <c r="A403" s="17">
        <v>393</v>
      </c>
      <c r="B403" s="6" t="s">
        <v>1228</v>
      </c>
      <c r="C403" s="6" t="s">
        <v>1251</v>
      </c>
      <c r="D403" s="6"/>
      <c r="E403" s="6" t="s">
        <v>2374</v>
      </c>
      <c r="F403" s="33">
        <v>25605</v>
      </c>
      <c r="G403" s="21">
        <f>YEAR(F403)</f>
        <v>1970</v>
      </c>
      <c r="H403" s="22">
        <f t="shared" si="16"/>
        <v>56</v>
      </c>
      <c r="I403" s="23"/>
      <c r="J403" s="20" t="s">
        <v>27</v>
      </c>
      <c r="K403" s="6" t="s">
        <v>1230</v>
      </c>
      <c r="L403" s="25"/>
      <c r="M403" s="25" t="s">
        <v>1252</v>
      </c>
      <c r="N403" s="6"/>
      <c r="O403" s="6"/>
      <c r="P403" s="6"/>
      <c r="Q403" s="6"/>
      <c r="R403" s="26"/>
      <c r="S403" s="26"/>
      <c r="T403" s="26"/>
      <c r="U403" s="26"/>
      <c r="V403" s="6" t="s">
        <v>1253</v>
      </c>
    </row>
    <row r="404" spans="1:22">
      <c r="A404" s="20">
        <v>394</v>
      </c>
      <c r="B404" s="6" t="s">
        <v>1254</v>
      </c>
      <c r="C404" s="6" t="s">
        <v>1255</v>
      </c>
      <c r="D404" s="6"/>
      <c r="E404" s="6" t="s">
        <v>40</v>
      </c>
      <c r="F404" s="21">
        <v>10111953</v>
      </c>
      <c r="G404" s="21" t="str">
        <f t="shared" ref="G404:G435" si="17">RIGHT(F404,4)</f>
        <v>1953</v>
      </c>
      <c r="H404" s="22">
        <f t="shared" si="16"/>
        <v>73</v>
      </c>
      <c r="I404" s="23"/>
      <c r="J404" s="20" t="s">
        <v>27</v>
      </c>
      <c r="K404" s="6" t="s">
        <v>1256</v>
      </c>
      <c r="L404" s="25"/>
      <c r="M404" s="45" t="s">
        <v>1257</v>
      </c>
      <c r="N404" s="6"/>
      <c r="O404" s="6" t="s">
        <v>280</v>
      </c>
      <c r="P404" s="6">
        <v>153</v>
      </c>
      <c r="Q404" s="6">
        <v>44</v>
      </c>
      <c r="R404" s="26"/>
      <c r="S404" s="26"/>
      <c r="T404" s="26"/>
      <c r="U404" s="26"/>
    </row>
    <row r="405" spans="1:22">
      <c r="A405" s="17">
        <v>395</v>
      </c>
      <c r="B405" s="6" t="s">
        <v>1254</v>
      </c>
      <c r="C405" s="6" t="s">
        <v>1258</v>
      </c>
      <c r="D405" s="6"/>
      <c r="E405" s="6" t="s">
        <v>2374</v>
      </c>
      <c r="F405" s="21">
        <v>10121974</v>
      </c>
      <c r="G405" s="21" t="str">
        <f t="shared" si="17"/>
        <v>1974</v>
      </c>
      <c r="H405" s="22">
        <f t="shared" si="16"/>
        <v>52</v>
      </c>
      <c r="I405" s="23"/>
      <c r="J405" s="20" t="s">
        <v>27</v>
      </c>
      <c r="K405" s="6" t="s">
        <v>1259</v>
      </c>
      <c r="L405" s="25"/>
      <c r="M405" s="45" t="s">
        <v>1260</v>
      </c>
      <c r="N405" s="6"/>
      <c r="O405" s="6" t="s">
        <v>1261</v>
      </c>
      <c r="P405" s="6">
        <v>165</v>
      </c>
      <c r="Q405" s="6">
        <v>60</v>
      </c>
      <c r="R405" s="26">
        <v>98</v>
      </c>
      <c r="S405" s="26"/>
      <c r="T405" s="26"/>
      <c r="U405" s="26"/>
    </row>
    <row r="406" spans="1:22">
      <c r="A406" s="20">
        <v>396</v>
      </c>
      <c r="B406" s="6" t="s">
        <v>1254</v>
      </c>
      <c r="C406" s="6" t="s">
        <v>1262</v>
      </c>
      <c r="D406" s="6"/>
      <c r="E406" s="6" t="s">
        <v>2374</v>
      </c>
      <c r="F406" s="21">
        <v>15041972</v>
      </c>
      <c r="G406" s="21" t="str">
        <f t="shared" si="17"/>
        <v>1972</v>
      </c>
      <c r="H406" s="22">
        <f t="shared" si="16"/>
        <v>54</v>
      </c>
      <c r="I406" s="23" t="s">
        <v>27</v>
      </c>
      <c r="J406" s="20"/>
      <c r="K406" s="6" t="s">
        <v>1259</v>
      </c>
      <c r="L406" s="25"/>
      <c r="M406" s="45" t="s">
        <v>1263</v>
      </c>
      <c r="N406" s="6"/>
      <c r="O406" s="6" t="s">
        <v>1264</v>
      </c>
      <c r="P406" s="6">
        <v>172</v>
      </c>
      <c r="Q406" s="6">
        <v>52</v>
      </c>
      <c r="R406" s="26">
        <v>90</v>
      </c>
      <c r="S406" s="26"/>
      <c r="T406" s="26"/>
      <c r="U406" s="26"/>
      <c r="V406" s="6" t="s">
        <v>252</v>
      </c>
    </row>
    <row r="407" spans="1:22">
      <c r="A407" s="17">
        <v>397</v>
      </c>
      <c r="B407" s="6" t="s">
        <v>1254</v>
      </c>
      <c r="C407" s="6" t="s">
        <v>1265</v>
      </c>
      <c r="D407" s="6"/>
      <c r="E407" s="6" t="s">
        <v>40</v>
      </c>
      <c r="F407" s="21">
        <v>28101949</v>
      </c>
      <c r="G407" s="21" t="str">
        <f t="shared" si="17"/>
        <v>1949</v>
      </c>
      <c r="H407" s="22">
        <f t="shared" si="16"/>
        <v>77</v>
      </c>
      <c r="I407" s="23" t="s">
        <v>27</v>
      </c>
      <c r="J407" s="20"/>
      <c r="K407" s="6" t="s">
        <v>1259</v>
      </c>
      <c r="L407" s="25"/>
      <c r="M407" s="45" t="s">
        <v>1266</v>
      </c>
      <c r="N407" s="6"/>
      <c r="O407" s="6" t="s">
        <v>1267</v>
      </c>
      <c r="P407" s="6"/>
      <c r="Q407" s="6"/>
      <c r="R407" s="26">
        <v>62</v>
      </c>
      <c r="S407" s="26"/>
      <c r="T407" s="26"/>
      <c r="U407" s="26"/>
    </row>
    <row r="408" spans="1:22">
      <c r="A408" s="20">
        <v>398</v>
      </c>
      <c r="B408" s="6" t="s">
        <v>1254</v>
      </c>
      <c r="C408" s="6" t="s">
        <v>1268</v>
      </c>
      <c r="D408" s="6"/>
      <c r="E408" s="6" t="s">
        <v>40</v>
      </c>
      <c r="F408" s="21">
        <v>3041940</v>
      </c>
      <c r="G408" s="21" t="str">
        <f t="shared" si="17"/>
        <v>1940</v>
      </c>
      <c r="H408" s="22">
        <f t="shared" si="16"/>
        <v>86</v>
      </c>
      <c r="I408" s="23"/>
      <c r="J408" s="20" t="s">
        <v>27</v>
      </c>
      <c r="K408" s="6" t="s">
        <v>1259</v>
      </c>
      <c r="L408" s="25"/>
      <c r="M408" s="45" t="s">
        <v>1269</v>
      </c>
      <c r="N408" s="6"/>
      <c r="O408" s="6" t="s">
        <v>175</v>
      </c>
      <c r="P408" s="6">
        <v>155</v>
      </c>
      <c r="Q408" s="6">
        <v>40</v>
      </c>
      <c r="R408" s="26">
        <v>95</v>
      </c>
      <c r="S408" s="26"/>
      <c r="T408" s="26"/>
      <c r="U408" s="26"/>
      <c r="V408" s="6" t="s">
        <v>252</v>
      </c>
    </row>
    <row r="409" spans="1:22">
      <c r="A409" s="17">
        <v>399</v>
      </c>
      <c r="B409" s="6" t="s">
        <v>1254</v>
      </c>
      <c r="C409" s="6" t="s">
        <v>1270</v>
      </c>
      <c r="D409" s="6"/>
      <c r="E409" s="6" t="s">
        <v>40</v>
      </c>
      <c r="F409" s="21">
        <v>10101938</v>
      </c>
      <c r="G409" s="21" t="str">
        <f t="shared" si="17"/>
        <v>1938</v>
      </c>
      <c r="H409" s="22">
        <f t="shared" si="16"/>
        <v>88</v>
      </c>
      <c r="I409" s="23" t="s">
        <v>27</v>
      </c>
      <c r="J409" s="20"/>
      <c r="K409" s="6" t="s">
        <v>1259</v>
      </c>
      <c r="L409" s="25"/>
      <c r="M409" s="45" t="s">
        <v>1271</v>
      </c>
      <c r="N409" s="6"/>
      <c r="O409" s="6" t="s">
        <v>1272</v>
      </c>
      <c r="P409" s="6"/>
      <c r="Q409" s="6"/>
      <c r="R409" s="26">
        <v>94</v>
      </c>
      <c r="S409" s="26"/>
      <c r="T409" s="26"/>
      <c r="U409" s="26"/>
      <c r="V409" s="6" t="s">
        <v>252</v>
      </c>
    </row>
    <row r="410" spans="1:22">
      <c r="A410" s="20">
        <v>400</v>
      </c>
      <c r="B410" s="6" t="s">
        <v>1254</v>
      </c>
      <c r="C410" s="6" t="s">
        <v>1273</v>
      </c>
      <c r="D410" s="6"/>
      <c r="E410" s="6" t="s">
        <v>40</v>
      </c>
      <c r="F410" s="21">
        <v>4061965</v>
      </c>
      <c r="G410" s="21" t="str">
        <f t="shared" si="17"/>
        <v>1965</v>
      </c>
      <c r="H410" s="22">
        <f t="shared" si="16"/>
        <v>61</v>
      </c>
      <c r="I410" s="23"/>
      <c r="J410" s="20" t="s">
        <v>27</v>
      </c>
      <c r="K410" s="6" t="s">
        <v>1259</v>
      </c>
      <c r="L410" s="25"/>
      <c r="M410" s="45" t="s">
        <v>1274</v>
      </c>
      <c r="N410" s="6"/>
      <c r="O410" s="6" t="s">
        <v>34</v>
      </c>
      <c r="P410" s="6">
        <v>150</v>
      </c>
      <c r="Q410" s="6">
        <v>53</v>
      </c>
      <c r="R410" s="26">
        <v>71</v>
      </c>
      <c r="S410" s="26"/>
      <c r="T410" s="26"/>
      <c r="U410" s="26"/>
      <c r="V410" s="6" t="s">
        <v>1275</v>
      </c>
    </row>
    <row r="411" spans="1:22">
      <c r="A411" s="17">
        <v>401</v>
      </c>
      <c r="B411" s="6" t="s">
        <v>1254</v>
      </c>
      <c r="C411" s="6" t="s">
        <v>1276</v>
      </c>
      <c r="D411" s="6"/>
      <c r="E411" s="6" t="s">
        <v>40</v>
      </c>
      <c r="F411" s="21">
        <v>10041949</v>
      </c>
      <c r="G411" s="21" t="str">
        <f t="shared" si="17"/>
        <v>1949</v>
      </c>
      <c r="H411" s="22">
        <f t="shared" si="16"/>
        <v>77</v>
      </c>
      <c r="I411" s="23" t="s">
        <v>27</v>
      </c>
      <c r="J411" s="20"/>
      <c r="K411" s="6" t="s">
        <v>1259</v>
      </c>
      <c r="L411" s="25"/>
      <c r="M411" s="45" t="s">
        <v>1277</v>
      </c>
      <c r="N411" s="6"/>
      <c r="O411" s="6" t="s">
        <v>1278</v>
      </c>
      <c r="P411" s="6">
        <v>167</v>
      </c>
      <c r="Q411" s="6">
        <v>56</v>
      </c>
      <c r="R411" s="26">
        <v>66</v>
      </c>
      <c r="S411" s="26"/>
      <c r="T411" s="26"/>
      <c r="U411" s="26"/>
      <c r="V411" s="6" t="s">
        <v>252</v>
      </c>
    </row>
    <row r="412" spans="1:22">
      <c r="A412" s="20">
        <v>402</v>
      </c>
      <c r="B412" s="6" t="s">
        <v>1254</v>
      </c>
      <c r="C412" s="6" t="s">
        <v>105</v>
      </c>
      <c r="D412" s="6"/>
      <c r="E412" s="6" t="s">
        <v>40</v>
      </c>
      <c r="F412" s="21">
        <v>20081956</v>
      </c>
      <c r="G412" s="21" t="str">
        <f t="shared" si="17"/>
        <v>1956</v>
      </c>
      <c r="H412" s="22">
        <f t="shared" si="16"/>
        <v>70</v>
      </c>
      <c r="I412" s="23"/>
      <c r="J412" s="20" t="s">
        <v>27</v>
      </c>
      <c r="K412" s="6" t="s">
        <v>1259</v>
      </c>
      <c r="L412" s="25"/>
      <c r="M412" s="45" t="s">
        <v>1279</v>
      </c>
      <c r="N412" s="6"/>
      <c r="O412" s="6" t="s">
        <v>1280</v>
      </c>
      <c r="P412" s="6">
        <v>160</v>
      </c>
      <c r="Q412" s="6">
        <v>64</v>
      </c>
      <c r="R412" s="26">
        <v>74</v>
      </c>
      <c r="S412" s="26">
        <v>4</v>
      </c>
      <c r="T412" s="26">
        <v>10</v>
      </c>
      <c r="U412" s="26"/>
      <c r="V412" s="6" t="s">
        <v>252</v>
      </c>
    </row>
    <row r="413" spans="1:22">
      <c r="A413" s="17">
        <v>403</v>
      </c>
      <c r="B413" s="6" t="s">
        <v>1254</v>
      </c>
      <c r="C413" s="6" t="s">
        <v>1281</v>
      </c>
      <c r="D413" s="6"/>
      <c r="E413" s="6" t="s">
        <v>2374</v>
      </c>
      <c r="F413" s="21">
        <v>4091971</v>
      </c>
      <c r="G413" s="21" t="str">
        <f t="shared" si="17"/>
        <v>1971</v>
      </c>
      <c r="H413" s="22">
        <f t="shared" si="16"/>
        <v>55</v>
      </c>
      <c r="I413" s="23"/>
      <c r="J413" s="20" t="s">
        <v>27</v>
      </c>
      <c r="K413" s="6" t="s">
        <v>1259</v>
      </c>
      <c r="L413" s="25"/>
      <c r="M413" s="45" t="s">
        <v>1282</v>
      </c>
      <c r="N413" s="6"/>
      <c r="O413" s="6"/>
      <c r="P413" s="6"/>
      <c r="Q413" s="6"/>
      <c r="R413" s="26"/>
      <c r="S413" s="26"/>
      <c r="T413" s="26"/>
      <c r="U413" s="26"/>
    </row>
    <row r="414" spans="1:22">
      <c r="A414" s="20">
        <v>404</v>
      </c>
      <c r="B414" s="6" t="s">
        <v>1254</v>
      </c>
      <c r="C414" s="6" t="s">
        <v>1283</v>
      </c>
      <c r="D414" s="6"/>
      <c r="E414" s="6" t="s">
        <v>40</v>
      </c>
      <c r="F414" s="21">
        <v>1071953</v>
      </c>
      <c r="G414" s="21" t="str">
        <f t="shared" si="17"/>
        <v>1953</v>
      </c>
      <c r="H414" s="22">
        <f t="shared" si="16"/>
        <v>73</v>
      </c>
      <c r="I414" s="23"/>
      <c r="J414" s="20" t="s">
        <v>27</v>
      </c>
      <c r="K414" s="6" t="s">
        <v>1259</v>
      </c>
      <c r="L414" s="25"/>
      <c r="M414" s="45" t="s">
        <v>1284</v>
      </c>
      <c r="N414" s="6"/>
      <c r="O414" s="6" t="s">
        <v>1285</v>
      </c>
      <c r="P414" s="6">
        <v>153</v>
      </c>
      <c r="Q414" s="6">
        <v>48</v>
      </c>
      <c r="R414" s="26">
        <v>99</v>
      </c>
      <c r="S414" s="26">
        <v>1</v>
      </c>
      <c r="T414" s="26">
        <v>1</v>
      </c>
      <c r="U414" s="26"/>
      <c r="V414" s="6" t="s">
        <v>252</v>
      </c>
    </row>
    <row r="415" spans="1:22">
      <c r="A415" s="17">
        <v>405</v>
      </c>
      <c r="B415" s="6" t="s">
        <v>1254</v>
      </c>
      <c r="C415" s="6" t="s">
        <v>1286</v>
      </c>
      <c r="D415" s="6"/>
      <c r="E415" s="6" t="s">
        <v>2374</v>
      </c>
      <c r="F415" s="21">
        <v>29081987</v>
      </c>
      <c r="G415" s="21" t="str">
        <f t="shared" si="17"/>
        <v>1987</v>
      </c>
      <c r="H415" s="22">
        <f t="shared" si="16"/>
        <v>39</v>
      </c>
      <c r="I415" s="23"/>
      <c r="J415" s="20" t="s">
        <v>27</v>
      </c>
      <c r="K415" s="6" t="s">
        <v>1259</v>
      </c>
      <c r="L415" s="25"/>
      <c r="M415" s="45" t="s">
        <v>1287</v>
      </c>
      <c r="N415" s="6"/>
      <c r="O415" s="6" t="s">
        <v>1288</v>
      </c>
      <c r="P415" s="6">
        <v>160</v>
      </c>
      <c r="Q415" s="6">
        <v>65</v>
      </c>
      <c r="R415" s="26">
        <v>73</v>
      </c>
      <c r="S415" s="26"/>
      <c r="T415" s="26"/>
      <c r="U415" s="26"/>
    </row>
    <row r="416" spans="1:22">
      <c r="A416" s="17">
        <v>406</v>
      </c>
      <c r="B416" s="6" t="s">
        <v>1254</v>
      </c>
      <c r="C416" s="6" t="s">
        <v>1289</v>
      </c>
      <c r="D416" s="6"/>
      <c r="E416" s="6" t="s">
        <v>2374</v>
      </c>
      <c r="F416" s="21">
        <v>20061991</v>
      </c>
      <c r="G416" s="21" t="str">
        <f t="shared" si="17"/>
        <v>1991</v>
      </c>
      <c r="H416" s="22">
        <f t="shared" si="16"/>
        <v>35</v>
      </c>
      <c r="I416" s="23" t="s">
        <v>27</v>
      </c>
      <c r="J416" s="20"/>
      <c r="K416" s="6" t="s">
        <v>1259</v>
      </c>
      <c r="M416" s="45" t="s">
        <v>1290</v>
      </c>
      <c r="N416" s="6"/>
      <c r="O416" s="6" t="s">
        <v>1291</v>
      </c>
      <c r="P416" s="6"/>
      <c r="Q416" s="6"/>
      <c r="R416" s="26">
        <v>88</v>
      </c>
      <c r="S416" s="26"/>
      <c r="T416" s="26"/>
      <c r="U416" s="26"/>
    </row>
    <row r="417" spans="1:22">
      <c r="A417" s="20">
        <v>407</v>
      </c>
      <c r="B417" s="6" t="s">
        <v>1254</v>
      </c>
      <c r="C417" s="6" t="s">
        <v>1292</v>
      </c>
      <c r="D417" s="6"/>
      <c r="E417" s="6" t="s">
        <v>2374</v>
      </c>
      <c r="F417" s="21">
        <v>8081978</v>
      </c>
      <c r="G417" s="21" t="str">
        <f t="shared" si="17"/>
        <v>1978</v>
      </c>
      <c r="H417" s="22">
        <f t="shared" si="16"/>
        <v>48</v>
      </c>
      <c r="I417" s="23"/>
      <c r="J417" s="20" t="s">
        <v>27</v>
      </c>
      <c r="K417" s="6" t="s">
        <v>1259</v>
      </c>
      <c r="L417" s="25"/>
      <c r="M417" s="45" t="s">
        <v>1293</v>
      </c>
      <c r="N417" s="6"/>
      <c r="O417" s="6" t="s">
        <v>1294</v>
      </c>
      <c r="P417" s="6">
        <v>150</v>
      </c>
      <c r="Q417" s="6">
        <v>55</v>
      </c>
      <c r="R417" s="26">
        <v>99</v>
      </c>
      <c r="S417" s="26"/>
      <c r="T417" s="26"/>
      <c r="U417" s="26"/>
      <c r="V417" s="6" t="s">
        <v>252</v>
      </c>
    </row>
    <row r="418" spans="1:22">
      <c r="A418" s="17">
        <v>408</v>
      </c>
      <c r="B418" s="6" t="s">
        <v>1254</v>
      </c>
      <c r="C418" s="6" t="s">
        <v>638</v>
      </c>
      <c r="D418" s="6"/>
      <c r="E418" s="6" t="s">
        <v>40</v>
      </c>
      <c r="F418" s="21">
        <v>15011943</v>
      </c>
      <c r="G418" s="21" t="str">
        <f t="shared" si="17"/>
        <v>1943</v>
      </c>
      <c r="H418" s="22">
        <f t="shared" si="16"/>
        <v>83</v>
      </c>
      <c r="I418" s="23"/>
      <c r="J418" s="20" t="s">
        <v>27</v>
      </c>
      <c r="K418" s="6" t="s">
        <v>1259</v>
      </c>
      <c r="L418" s="25"/>
      <c r="M418" s="45" t="s">
        <v>1295</v>
      </c>
      <c r="N418" s="6"/>
      <c r="O418" s="6" t="s">
        <v>1296</v>
      </c>
      <c r="P418" s="6">
        <v>148</v>
      </c>
      <c r="Q418" s="6">
        <v>40</v>
      </c>
      <c r="R418" s="26">
        <v>96</v>
      </c>
      <c r="S418" s="26"/>
      <c r="T418" s="26"/>
      <c r="U418" s="26"/>
      <c r="V418" s="6" t="s">
        <v>252</v>
      </c>
    </row>
    <row r="419" spans="1:22">
      <c r="A419" s="20">
        <v>409</v>
      </c>
      <c r="B419" s="6" t="s">
        <v>1254</v>
      </c>
      <c r="C419" s="6" t="s">
        <v>1297</v>
      </c>
      <c r="D419" s="6"/>
      <c r="E419" s="6" t="s">
        <v>2374</v>
      </c>
      <c r="F419" s="21">
        <v>14081987</v>
      </c>
      <c r="G419" s="21" t="str">
        <f t="shared" si="17"/>
        <v>1987</v>
      </c>
      <c r="H419" s="22">
        <f t="shared" si="16"/>
        <v>39</v>
      </c>
      <c r="I419" s="23"/>
      <c r="J419" s="20" t="s">
        <v>27</v>
      </c>
      <c r="K419" s="6" t="s">
        <v>1259</v>
      </c>
      <c r="L419" s="25"/>
      <c r="M419" s="45" t="s">
        <v>1298</v>
      </c>
      <c r="N419" s="6"/>
      <c r="O419" s="6" t="s">
        <v>1299</v>
      </c>
      <c r="P419" s="6">
        <v>145</v>
      </c>
      <c r="Q419" s="6">
        <v>52</v>
      </c>
      <c r="R419" s="26">
        <v>85</v>
      </c>
      <c r="S419" s="26"/>
      <c r="T419" s="26"/>
      <c r="U419" s="26"/>
    </row>
    <row r="420" spans="1:22">
      <c r="A420" s="17">
        <v>410</v>
      </c>
      <c r="B420" s="6" t="s">
        <v>1254</v>
      </c>
      <c r="C420" s="6" t="s">
        <v>120</v>
      </c>
      <c r="D420" s="6"/>
      <c r="E420" s="6" t="s">
        <v>40</v>
      </c>
      <c r="F420" s="21">
        <v>10041947</v>
      </c>
      <c r="G420" s="21" t="str">
        <f t="shared" si="17"/>
        <v>1947</v>
      </c>
      <c r="H420" s="22">
        <f t="shared" si="16"/>
        <v>79</v>
      </c>
      <c r="I420" s="23"/>
      <c r="J420" s="20" t="s">
        <v>27</v>
      </c>
      <c r="K420" s="6" t="s">
        <v>1259</v>
      </c>
      <c r="L420" s="25"/>
      <c r="M420" s="45" t="s">
        <v>1300</v>
      </c>
      <c r="N420" s="6"/>
      <c r="O420" s="6" t="s">
        <v>1301</v>
      </c>
      <c r="P420" s="6">
        <v>146</v>
      </c>
      <c r="Q420" s="6">
        <v>41</v>
      </c>
      <c r="R420" s="26">
        <v>95</v>
      </c>
      <c r="S420" s="26">
        <v>4</v>
      </c>
      <c r="T420" s="26">
        <v>10</v>
      </c>
      <c r="U420" s="26"/>
      <c r="V420" s="6" t="s">
        <v>1302</v>
      </c>
    </row>
    <row r="421" spans="1:22">
      <c r="A421" s="20">
        <v>411</v>
      </c>
      <c r="B421" s="6" t="s">
        <v>1254</v>
      </c>
      <c r="C421" s="6" t="s">
        <v>1303</v>
      </c>
      <c r="D421" s="6"/>
      <c r="E421" s="6" t="s">
        <v>2374</v>
      </c>
      <c r="F421" s="21">
        <v>29041983</v>
      </c>
      <c r="G421" s="21" t="str">
        <f t="shared" si="17"/>
        <v>1983</v>
      </c>
      <c r="H421" s="22">
        <f t="shared" si="16"/>
        <v>43</v>
      </c>
      <c r="I421" s="23" t="s">
        <v>27</v>
      </c>
      <c r="J421" s="20"/>
      <c r="K421" s="6" t="s">
        <v>1259</v>
      </c>
      <c r="L421" s="25"/>
      <c r="M421" s="45" t="s">
        <v>1304</v>
      </c>
      <c r="N421" s="6"/>
      <c r="O421" s="6" t="s">
        <v>1305</v>
      </c>
      <c r="P421" s="6">
        <v>167</v>
      </c>
      <c r="Q421" s="6">
        <v>76</v>
      </c>
      <c r="R421" s="26">
        <v>97</v>
      </c>
      <c r="S421" s="26">
        <v>10</v>
      </c>
      <c r="T421" s="26">
        <v>10</v>
      </c>
      <c r="U421" s="26"/>
      <c r="V421" s="6" t="s">
        <v>1306</v>
      </c>
    </row>
    <row r="422" spans="1:22">
      <c r="A422" s="17">
        <v>412</v>
      </c>
      <c r="B422" s="6" t="s">
        <v>1254</v>
      </c>
      <c r="C422" s="6" t="s">
        <v>1307</v>
      </c>
      <c r="D422" s="6"/>
      <c r="E422" s="6" t="s">
        <v>92</v>
      </c>
      <c r="F422" s="21">
        <v>16031983</v>
      </c>
      <c r="G422" s="21" t="str">
        <f t="shared" si="17"/>
        <v>1983</v>
      </c>
      <c r="H422" s="22">
        <f t="shared" si="16"/>
        <v>43</v>
      </c>
      <c r="I422" s="23" t="s">
        <v>27</v>
      </c>
      <c r="J422" s="20"/>
      <c r="K422" s="6" t="s">
        <v>1259</v>
      </c>
      <c r="L422" s="25"/>
      <c r="M422" s="45" t="s">
        <v>1308</v>
      </c>
      <c r="N422" s="6"/>
      <c r="O422" s="6" t="s">
        <v>1309</v>
      </c>
      <c r="P422" s="6">
        <v>150</v>
      </c>
      <c r="Q422" s="6">
        <v>45</v>
      </c>
      <c r="R422" s="26">
        <v>77</v>
      </c>
      <c r="S422" s="26"/>
      <c r="T422" s="26"/>
      <c r="U422" s="26"/>
    </row>
    <row r="423" spans="1:22">
      <c r="A423" s="20">
        <v>413</v>
      </c>
      <c r="B423" s="6" t="s">
        <v>1254</v>
      </c>
      <c r="C423" s="6" t="s">
        <v>1310</v>
      </c>
      <c r="D423" s="6"/>
      <c r="E423" s="6" t="s">
        <v>2374</v>
      </c>
      <c r="F423" s="21">
        <v>24011994</v>
      </c>
      <c r="G423" s="21" t="str">
        <f t="shared" si="17"/>
        <v>1994</v>
      </c>
      <c r="H423" s="22">
        <f t="shared" si="16"/>
        <v>32</v>
      </c>
      <c r="I423" s="23" t="s">
        <v>27</v>
      </c>
      <c r="J423" s="20"/>
      <c r="K423" s="6" t="s">
        <v>1259</v>
      </c>
      <c r="L423" s="25"/>
      <c r="M423" s="45" t="s">
        <v>1311</v>
      </c>
      <c r="N423" s="6"/>
      <c r="O423" s="6" t="s">
        <v>1312</v>
      </c>
      <c r="P423" s="6"/>
      <c r="Q423" s="6"/>
      <c r="R423" s="26">
        <v>84</v>
      </c>
      <c r="S423" s="26"/>
      <c r="T423" s="26"/>
      <c r="U423" s="26"/>
      <c r="V423" s="6" t="s">
        <v>252</v>
      </c>
    </row>
    <row r="424" spans="1:22">
      <c r="A424" s="17">
        <v>414</v>
      </c>
      <c r="B424" s="6" t="s">
        <v>1254</v>
      </c>
      <c r="C424" s="6" t="s">
        <v>1313</v>
      </c>
      <c r="D424" s="6"/>
      <c r="E424" s="6" t="s">
        <v>2374</v>
      </c>
      <c r="F424" s="21">
        <v>8021994</v>
      </c>
      <c r="G424" s="21" t="str">
        <f t="shared" si="17"/>
        <v>1994</v>
      </c>
      <c r="H424" s="22">
        <f t="shared" si="16"/>
        <v>32</v>
      </c>
      <c r="I424" s="23"/>
      <c r="J424" s="20" t="s">
        <v>27</v>
      </c>
      <c r="K424" s="6" t="s">
        <v>1259</v>
      </c>
      <c r="L424" s="25"/>
      <c r="M424" s="45" t="s">
        <v>1314</v>
      </c>
      <c r="N424" s="6"/>
      <c r="O424" s="6" t="s">
        <v>1315</v>
      </c>
      <c r="P424" s="6">
        <v>153</v>
      </c>
      <c r="Q424" s="6">
        <v>52</v>
      </c>
      <c r="R424" s="26">
        <v>95</v>
      </c>
      <c r="S424" s="26"/>
      <c r="T424" s="26"/>
      <c r="U424" s="26"/>
    </row>
    <row r="425" spans="1:22">
      <c r="A425" s="20">
        <v>415</v>
      </c>
      <c r="B425" s="6" t="s">
        <v>1254</v>
      </c>
      <c r="C425" s="6" t="s">
        <v>1316</v>
      </c>
      <c r="D425" s="6"/>
      <c r="E425" s="6" t="s">
        <v>40</v>
      </c>
      <c r="F425" s="21">
        <v>30051965</v>
      </c>
      <c r="G425" s="21" t="str">
        <f t="shared" si="17"/>
        <v>1965</v>
      </c>
      <c r="H425" s="22">
        <f t="shared" si="16"/>
        <v>61</v>
      </c>
      <c r="I425" s="23" t="s">
        <v>27</v>
      </c>
      <c r="J425" s="20"/>
      <c r="K425" s="6"/>
      <c r="L425" s="25"/>
      <c r="M425" s="45" t="s">
        <v>1317</v>
      </c>
      <c r="N425" s="6"/>
      <c r="O425" s="6" t="s">
        <v>570</v>
      </c>
      <c r="P425" s="6"/>
      <c r="Q425" s="6"/>
      <c r="R425" s="26">
        <v>98</v>
      </c>
      <c r="S425" s="26"/>
      <c r="T425" s="26"/>
      <c r="U425" s="26"/>
      <c r="V425" s="6" t="s">
        <v>252</v>
      </c>
    </row>
    <row r="426" spans="1:22">
      <c r="A426" s="17">
        <v>416</v>
      </c>
      <c r="B426" s="6" t="s">
        <v>1254</v>
      </c>
      <c r="C426" s="6" t="s">
        <v>1318</v>
      </c>
      <c r="D426" s="6"/>
      <c r="E426" s="6" t="s">
        <v>2374</v>
      </c>
      <c r="F426" s="21">
        <v>18111995</v>
      </c>
      <c r="G426" s="21" t="str">
        <f t="shared" si="17"/>
        <v>1995</v>
      </c>
      <c r="H426" s="22">
        <f t="shared" si="16"/>
        <v>31</v>
      </c>
      <c r="I426" s="23"/>
      <c r="J426" s="20" t="s">
        <v>27</v>
      </c>
      <c r="K426" s="6" t="s">
        <v>1259</v>
      </c>
      <c r="L426" s="25"/>
      <c r="M426" s="45" t="s">
        <v>1319</v>
      </c>
      <c r="N426" s="6"/>
      <c r="O426" s="6" t="s">
        <v>1320</v>
      </c>
      <c r="P426" s="6">
        <v>153</v>
      </c>
      <c r="Q426" s="6">
        <v>65</v>
      </c>
      <c r="R426" s="26">
        <v>75</v>
      </c>
      <c r="S426" s="26"/>
      <c r="T426" s="26"/>
      <c r="U426" s="26"/>
    </row>
    <row r="427" spans="1:22">
      <c r="A427" s="20">
        <v>417</v>
      </c>
      <c r="B427" s="6" t="s">
        <v>1254</v>
      </c>
      <c r="C427" s="6" t="s">
        <v>1321</v>
      </c>
      <c r="D427" s="6"/>
      <c r="E427" s="6" t="s">
        <v>2374</v>
      </c>
      <c r="F427" s="21">
        <v>15061970</v>
      </c>
      <c r="G427" s="21" t="str">
        <f t="shared" si="17"/>
        <v>1970</v>
      </c>
      <c r="H427" s="22">
        <f t="shared" si="16"/>
        <v>56</v>
      </c>
      <c r="I427" s="23"/>
      <c r="J427" s="20" t="s">
        <v>27</v>
      </c>
      <c r="K427" s="6" t="s">
        <v>1259</v>
      </c>
      <c r="L427" s="25"/>
      <c r="M427" s="45" t="s">
        <v>1322</v>
      </c>
      <c r="N427" s="6"/>
      <c r="O427" s="6" t="s">
        <v>1323</v>
      </c>
      <c r="P427" s="6"/>
      <c r="Q427" s="6"/>
      <c r="R427" s="26">
        <v>89</v>
      </c>
      <c r="S427" s="26"/>
      <c r="T427" s="26"/>
      <c r="U427" s="26"/>
      <c r="V427" s="6" t="s">
        <v>252</v>
      </c>
    </row>
    <row r="428" spans="1:22">
      <c r="A428" s="17">
        <v>418</v>
      </c>
      <c r="B428" s="6" t="s">
        <v>1254</v>
      </c>
      <c r="C428" s="6" t="s">
        <v>1324</v>
      </c>
      <c r="D428" s="6"/>
      <c r="E428" s="6" t="s">
        <v>40</v>
      </c>
      <c r="F428" s="21">
        <v>5101963</v>
      </c>
      <c r="G428" s="21" t="str">
        <f t="shared" si="17"/>
        <v>1963</v>
      </c>
      <c r="H428" s="22">
        <f t="shared" si="16"/>
        <v>63</v>
      </c>
      <c r="I428" s="23" t="s">
        <v>27</v>
      </c>
      <c r="J428" s="20"/>
      <c r="K428" s="6"/>
      <c r="L428" s="25"/>
      <c r="M428" s="45" t="s">
        <v>1325</v>
      </c>
      <c r="N428" s="6"/>
      <c r="O428" s="6" t="s">
        <v>1326</v>
      </c>
      <c r="P428" s="6">
        <v>173</v>
      </c>
      <c r="Q428" s="6">
        <v>73</v>
      </c>
      <c r="R428" s="26">
        <v>68</v>
      </c>
      <c r="S428" s="26">
        <v>5</v>
      </c>
      <c r="T428" s="26">
        <v>5</v>
      </c>
      <c r="U428" s="26"/>
      <c r="V428" s="6" t="s">
        <v>252</v>
      </c>
    </row>
    <row r="429" spans="1:22">
      <c r="A429" s="20">
        <v>419</v>
      </c>
      <c r="B429" s="6" t="s">
        <v>1254</v>
      </c>
      <c r="C429" s="6" t="s">
        <v>1327</v>
      </c>
      <c r="D429" s="6"/>
      <c r="E429" s="6" t="s">
        <v>2374</v>
      </c>
      <c r="F429" s="21">
        <v>21031970</v>
      </c>
      <c r="G429" s="21" t="str">
        <f t="shared" si="17"/>
        <v>1970</v>
      </c>
      <c r="H429" s="22">
        <f t="shared" si="16"/>
        <v>56</v>
      </c>
      <c r="I429" s="23"/>
      <c r="J429" s="20" t="s">
        <v>27</v>
      </c>
      <c r="K429" s="6" t="s">
        <v>1259</v>
      </c>
      <c r="L429" s="25"/>
      <c r="M429" s="45" t="s">
        <v>1328</v>
      </c>
      <c r="N429" s="6"/>
      <c r="O429" s="6" t="s">
        <v>1329</v>
      </c>
      <c r="P429" s="6">
        <v>157</v>
      </c>
      <c r="Q429" s="6">
        <v>55</v>
      </c>
      <c r="R429" s="26">
        <v>82</v>
      </c>
      <c r="S429" s="26">
        <v>10</v>
      </c>
      <c r="T429" s="26">
        <v>10</v>
      </c>
      <c r="U429" s="26"/>
      <c r="V429" s="6" t="s">
        <v>252</v>
      </c>
    </row>
    <row r="430" spans="1:22">
      <c r="A430" s="17">
        <v>420</v>
      </c>
      <c r="B430" s="6" t="s">
        <v>1254</v>
      </c>
      <c r="C430" s="6" t="s">
        <v>1330</v>
      </c>
      <c r="D430" s="6"/>
      <c r="E430" s="6" t="s">
        <v>2374</v>
      </c>
      <c r="F430" s="21">
        <v>24021976</v>
      </c>
      <c r="G430" s="21" t="str">
        <f t="shared" si="17"/>
        <v>1976</v>
      </c>
      <c r="H430" s="22">
        <f t="shared" si="16"/>
        <v>50</v>
      </c>
      <c r="I430" s="23"/>
      <c r="J430" s="20" t="s">
        <v>27</v>
      </c>
      <c r="K430" s="6" t="s">
        <v>1259</v>
      </c>
      <c r="L430" s="25"/>
      <c r="M430" s="45" t="s">
        <v>1331</v>
      </c>
      <c r="N430" s="6"/>
      <c r="O430" s="6" t="s">
        <v>1332</v>
      </c>
      <c r="P430" s="6"/>
      <c r="Q430" s="6"/>
      <c r="R430" s="26">
        <v>79</v>
      </c>
      <c r="S430" s="26">
        <v>10</v>
      </c>
      <c r="T430" s="26">
        <v>10</v>
      </c>
      <c r="U430" s="26"/>
      <c r="V430" s="6" t="s">
        <v>252</v>
      </c>
    </row>
    <row r="431" spans="1:22">
      <c r="A431" s="20">
        <v>421</v>
      </c>
      <c r="B431" s="6" t="s">
        <v>1254</v>
      </c>
      <c r="C431" s="6" t="s">
        <v>1333</v>
      </c>
      <c r="D431" s="6"/>
      <c r="E431" s="6" t="s">
        <v>2374</v>
      </c>
      <c r="F431" s="21">
        <v>14081969</v>
      </c>
      <c r="G431" s="21" t="str">
        <f t="shared" si="17"/>
        <v>1969</v>
      </c>
      <c r="H431" s="22">
        <f t="shared" si="16"/>
        <v>57</v>
      </c>
      <c r="I431" s="23" t="s">
        <v>27</v>
      </c>
      <c r="J431" s="20"/>
      <c r="K431" s="6" t="s">
        <v>1259</v>
      </c>
      <c r="L431" s="25"/>
      <c r="M431" s="45" t="s">
        <v>1334</v>
      </c>
      <c r="N431" s="6"/>
      <c r="O431" s="6" t="s">
        <v>1335</v>
      </c>
      <c r="P431" s="6">
        <v>163</v>
      </c>
      <c r="Q431" s="6">
        <v>71</v>
      </c>
      <c r="R431" s="26">
        <v>69</v>
      </c>
      <c r="S431" s="26">
        <v>10</v>
      </c>
      <c r="T431" s="26">
        <v>10</v>
      </c>
      <c r="U431" s="26"/>
    </row>
    <row r="432" spans="1:22">
      <c r="A432" s="17">
        <v>422</v>
      </c>
      <c r="B432" s="6" t="s">
        <v>1254</v>
      </c>
      <c r="C432" s="6" t="s">
        <v>1336</v>
      </c>
      <c r="D432" s="6"/>
      <c r="E432" s="6" t="s">
        <v>2374</v>
      </c>
      <c r="F432" s="21">
        <v>30041994</v>
      </c>
      <c r="G432" s="21" t="str">
        <f t="shared" si="17"/>
        <v>1994</v>
      </c>
      <c r="H432" s="22">
        <f t="shared" si="16"/>
        <v>32</v>
      </c>
      <c r="I432" s="23"/>
      <c r="J432" s="20" t="s">
        <v>27</v>
      </c>
      <c r="K432" s="6" t="s">
        <v>1259</v>
      </c>
      <c r="L432" s="25"/>
      <c r="M432" s="45" t="s">
        <v>1337</v>
      </c>
      <c r="N432" s="6"/>
      <c r="O432" s="6" t="s">
        <v>1338</v>
      </c>
      <c r="P432" s="6">
        <v>163</v>
      </c>
      <c r="Q432" s="6">
        <v>75</v>
      </c>
      <c r="R432" s="26"/>
      <c r="S432" s="26"/>
      <c r="T432" s="26"/>
      <c r="U432" s="26"/>
    </row>
    <row r="433" spans="1:22">
      <c r="A433" s="20">
        <v>423</v>
      </c>
      <c r="B433" s="6" t="s">
        <v>1254</v>
      </c>
      <c r="C433" s="6" t="s">
        <v>1339</v>
      </c>
      <c r="D433" s="6"/>
      <c r="E433" s="6" t="s">
        <v>2374</v>
      </c>
      <c r="F433" s="21">
        <v>3122006</v>
      </c>
      <c r="G433" s="21" t="str">
        <f t="shared" si="17"/>
        <v>2006</v>
      </c>
      <c r="H433" s="22">
        <f t="shared" si="16"/>
        <v>20</v>
      </c>
      <c r="I433" s="23" t="s">
        <v>27</v>
      </c>
      <c r="J433" s="20"/>
      <c r="K433" s="6" t="s">
        <v>1259</v>
      </c>
      <c r="L433" s="25"/>
      <c r="M433" s="45" t="s">
        <v>1340</v>
      </c>
      <c r="N433" s="6"/>
      <c r="O433" s="6" t="s">
        <v>1341</v>
      </c>
      <c r="P433" s="6">
        <v>178</v>
      </c>
      <c r="Q433" s="6">
        <v>90</v>
      </c>
      <c r="R433" s="26">
        <v>94</v>
      </c>
      <c r="S433" s="26"/>
      <c r="T433" s="26"/>
      <c r="U433" s="26"/>
      <c r="V433" s="6" t="s">
        <v>1342</v>
      </c>
    </row>
    <row r="434" spans="1:22">
      <c r="A434" s="17">
        <v>424</v>
      </c>
      <c r="B434" s="6" t="s">
        <v>1254</v>
      </c>
      <c r="C434" s="6" t="s">
        <v>1343</v>
      </c>
      <c r="D434" s="6"/>
      <c r="E434" s="6" t="s">
        <v>2374</v>
      </c>
      <c r="F434" s="21">
        <v>4011967</v>
      </c>
      <c r="G434" s="21" t="str">
        <f t="shared" si="17"/>
        <v>1967</v>
      </c>
      <c r="H434" s="22">
        <f t="shared" si="16"/>
        <v>59</v>
      </c>
      <c r="I434" s="23"/>
      <c r="J434" s="20" t="s">
        <v>27</v>
      </c>
      <c r="K434" s="6" t="s">
        <v>1259</v>
      </c>
      <c r="L434" s="25"/>
      <c r="M434" s="45" t="s">
        <v>1344</v>
      </c>
      <c r="N434" s="6"/>
      <c r="O434" s="6" t="s">
        <v>1345</v>
      </c>
      <c r="P434" s="6">
        <v>153</v>
      </c>
      <c r="Q434" s="6">
        <v>45</v>
      </c>
      <c r="R434" s="26">
        <v>171</v>
      </c>
      <c r="S434" s="26"/>
      <c r="T434" s="26"/>
      <c r="U434" s="26"/>
      <c r="V434" s="6" t="s">
        <v>1346</v>
      </c>
    </row>
    <row r="435" spans="1:22">
      <c r="A435" s="20">
        <v>425</v>
      </c>
      <c r="B435" s="6" t="s">
        <v>1254</v>
      </c>
      <c r="C435" s="6" t="s">
        <v>1347</v>
      </c>
      <c r="D435" s="6"/>
      <c r="E435" s="6" t="s">
        <v>111</v>
      </c>
      <c r="F435" s="21">
        <v>1082011</v>
      </c>
      <c r="G435" s="21" t="str">
        <f t="shared" si="17"/>
        <v>2011</v>
      </c>
      <c r="H435" s="22">
        <f t="shared" si="16"/>
        <v>15</v>
      </c>
      <c r="I435" s="23"/>
      <c r="J435" s="20" t="s">
        <v>27</v>
      </c>
      <c r="K435" s="6" t="s">
        <v>1259</v>
      </c>
      <c r="L435" s="25"/>
      <c r="M435" s="45" t="s">
        <v>1348</v>
      </c>
      <c r="N435" s="6"/>
      <c r="O435" s="6" t="s">
        <v>1349</v>
      </c>
      <c r="P435" s="6">
        <v>153</v>
      </c>
      <c r="Q435" s="6">
        <v>49</v>
      </c>
      <c r="R435" s="26">
        <v>80</v>
      </c>
      <c r="S435" s="26"/>
      <c r="T435" s="26"/>
      <c r="U435" s="26"/>
    </row>
    <row r="436" spans="1:22">
      <c r="A436" s="17">
        <v>426</v>
      </c>
      <c r="B436" s="6" t="s">
        <v>1254</v>
      </c>
      <c r="C436" s="6" t="s">
        <v>1350</v>
      </c>
      <c r="D436" s="6"/>
      <c r="E436" s="6" t="s">
        <v>40</v>
      </c>
      <c r="F436" s="21">
        <v>2021950</v>
      </c>
      <c r="G436" s="21" t="str">
        <f t="shared" ref="G436:G467" si="18">RIGHT(F436,4)</f>
        <v>1950</v>
      </c>
      <c r="H436" s="22">
        <f t="shared" si="16"/>
        <v>76</v>
      </c>
      <c r="I436" s="23"/>
      <c r="J436" s="20" t="s">
        <v>27</v>
      </c>
      <c r="K436" s="6" t="s">
        <v>1259</v>
      </c>
      <c r="L436" s="25"/>
      <c r="M436" s="45" t="s">
        <v>1351</v>
      </c>
      <c r="N436" s="6"/>
      <c r="O436" s="6"/>
      <c r="P436" s="6"/>
      <c r="Q436" s="6"/>
      <c r="R436" s="26"/>
      <c r="S436" s="26"/>
      <c r="T436" s="26"/>
      <c r="U436" s="26"/>
      <c r="V436" s="6" t="s">
        <v>1352</v>
      </c>
    </row>
    <row r="437" spans="1:22">
      <c r="A437" s="20">
        <v>427</v>
      </c>
      <c r="B437" s="6" t="s">
        <v>1254</v>
      </c>
      <c r="C437" s="6" t="s">
        <v>1353</v>
      </c>
      <c r="D437" s="6"/>
      <c r="E437" s="6" t="s">
        <v>40</v>
      </c>
      <c r="F437" s="21">
        <v>12101940</v>
      </c>
      <c r="G437" s="21" t="str">
        <f t="shared" si="18"/>
        <v>1940</v>
      </c>
      <c r="H437" s="22">
        <f t="shared" si="16"/>
        <v>86</v>
      </c>
      <c r="I437" s="23" t="s">
        <v>27</v>
      </c>
      <c r="J437" s="20"/>
      <c r="K437" s="6" t="s">
        <v>259</v>
      </c>
      <c r="L437" s="25"/>
      <c r="M437" s="45" t="s">
        <v>1354</v>
      </c>
      <c r="N437" s="6"/>
      <c r="O437" s="6" t="s">
        <v>504</v>
      </c>
      <c r="P437" s="6">
        <v>166</v>
      </c>
      <c r="Q437" s="6">
        <v>40</v>
      </c>
      <c r="R437" s="26">
        <v>65</v>
      </c>
      <c r="S437" s="26">
        <v>3</v>
      </c>
      <c r="T437" s="26">
        <v>3</v>
      </c>
      <c r="U437" s="26"/>
      <c r="V437" s="6" t="s">
        <v>1355</v>
      </c>
    </row>
    <row r="438" spans="1:22">
      <c r="A438" s="17">
        <v>428</v>
      </c>
      <c r="B438" s="6" t="s">
        <v>1254</v>
      </c>
      <c r="C438" s="6" t="s">
        <v>861</v>
      </c>
      <c r="D438" s="6"/>
      <c r="E438" s="6" t="s">
        <v>40</v>
      </c>
      <c r="F438" s="21">
        <v>1011955</v>
      </c>
      <c r="G438" s="21" t="str">
        <f t="shared" si="18"/>
        <v>1955</v>
      </c>
      <c r="H438" s="22">
        <f t="shared" si="16"/>
        <v>71</v>
      </c>
      <c r="I438" s="23"/>
      <c r="J438" s="20"/>
      <c r="K438" s="6" t="s">
        <v>259</v>
      </c>
      <c r="L438" s="25"/>
      <c r="M438" s="25"/>
      <c r="N438" s="6"/>
      <c r="O438" s="6" t="s">
        <v>104</v>
      </c>
      <c r="P438" s="6">
        <v>150</v>
      </c>
      <c r="Q438" s="6">
        <v>42</v>
      </c>
      <c r="R438" s="26">
        <v>97</v>
      </c>
      <c r="S438" s="26"/>
      <c r="T438" s="26"/>
      <c r="U438" s="26"/>
      <c r="V438" s="6" t="s">
        <v>1302</v>
      </c>
    </row>
    <row r="439" spans="1:22">
      <c r="A439" s="20">
        <v>429</v>
      </c>
      <c r="B439" s="6" t="s">
        <v>1254</v>
      </c>
      <c r="C439" s="6" t="s">
        <v>1356</v>
      </c>
      <c r="D439" s="6"/>
      <c r="E439" s="6" t="s">
        <v>40</v>
      </c>
      <c r="F439" s="21">
        <v>20041964</v>
      </c>
      <c r="G439" s="21" t="str">
        <f t="shared" si="18"/>
        <v>1964</v>
      </c>
      <c r="H439" s="22">
        <f t="shared" si="16"/>
        <v>62</v>
      </c>
      <c r="I439" s="23"/>
      <c r="J439" s="20"/>
      <c r="K439" s="6" t="s">
        <v>1357</v>
      </c>
      <c r="L439" s="25"/>
      <c r="M439" s="45" t="s">
        <v>1358</v>
      </c>
      <c r="N439" s="6"/>
      <c r="O439" s="6" t="s">
        <v>60</v>
      </c>
      <c r="P439" s="6">
        <v>145</v>
      </c>
      <c r="Q439" s="6">
        <v>43</v>
      </c>
      <c r="R439" s="26">
        <v>84</v>
      </c>
      <c r="S439" s="26"/>
      <c r="T439" s="26"/>
      <c r="U439" s="26"/>
      <c r="V439" s="6" t="s">
        <v>1359</v>
      </c>
    </row>
    <row r="440" spans="1:22">
      <c r="A440" s="17">
        <v>430</v>
      </c>
      <c r="B440" s="6" t="s">
        <v>1254</v>
      </c>
      <c r="C440" s="6" t="s">
        <v>1360</v>
      </c>
      <c r="D440" s="6"/>
      <c r="E440" s="6" t="s">
        <v>40</v>
      </c>
      <c r="F440" s="21">
        <v>20041957</v>
      </c>
      <c r="G440" s="21" t="str">
        <f t="shared" si="18"/>
        <v>1957</v>
      </c>
      <c r="H440" s="22">
        <f t="shared" si="16"/>
        <v>69</v>
      </c>
      <c r="I440" s="23"/>
      <c r="J440" s="20" t="s">
        <v>27</v>
      </c>
      <c r="K440" s="6" t="s">
        <v>259</v>
      </c>
      <c r="L440" s="25"/>
      <c r="M440" s="46" t="s">
        <v>1361</v>
      </c>
      <c r="N440" s="6"/>
      <c r="O440" s="6"/>
      <c r="P440" s="6"/>
      <c r="Q440" s="6"/>
      <c r="R440" s="26"/>
      <c r="S440" s="26"/>
      <c r="T440" s="26"/>
      <c r="U440" s="26"/>
      <c r="V440" s="6" t="s">
        <v>1362</v>
      </c>
    </row>
    <row r="441" spans="1:22">
      <c r="A441" s="20">
        <v>431</v>
      </c>
      <c r="B441" s="6" t="s">
        <v>1254</v>
      </c>
      <c r="C441" s="6" t="s">
        <v>1363</v>
      </c>
      <c r="D441" s="6"/>
      <c r="E441" s="6" t="s">
        <v>40</v>
      </c>
      <c r="F441" s="21">
        <v>1011964</v>
      </c>
      <c r="G441" s="21" t="str">
        <f t="shared" si="18"/>
        <v>1964</v>
      </c>
      <c r="H441" s="22">
        <f t="shared" si="16"/>
        <v>62</v>
      </c>
      <c r="I441" s="23" t="s">
        <v>27</v>
      </c>
      <c r="J441" s="20"/>
      <c r="K441" s="6" t="s">
        <v>1256</v>
      </c>
      <c r="L441" s="25"/>
      <c r="M441" s="45" t="s">
        <v>1364</v>
      </c>
      <c r="N441" s="6"/>
      <c r="O441" s="6" t="s">
        <v>1365</v>
      </c>
      <c r="P441" s="6">
        <v>170</v>
      </c>
      <c r="Q441" s="6">
        <v>47</v>
      </c>
      <c r="R441" s="26">
        <v>83</v>
      </c>
      <c r="S441" s="26">
        <v>8</v>
      </c>
      <c r="T441" s="26">
        <v>3</v>
      </c>
      <c r="U441" s="26"/>
      <c r="V441" s="6" t="s">
        <v>252</v>
      </c>
    </row>
    <row r="442" spans="1:22">
      <c r="A442" s="17">
        <v>432</v>
      </c>
      <c r="B442" s="6" t="s">
        <v>1254</v>
      </c>
      <c r="C442" s="6" t="s">
        <v>1366</v>
      </c>
      <c r="D442" s="6"/>
      <c r="E442" s="6" t="s">
        <v>92</v>
      </c>
      <c r="F442" s="21">
        <v>10041968</v>
      </c>
      <c r="G442" s="21" t="str">
        <f t="shared" si="18"/>
        <v>1968</v>
      </c>
      <c r="H442" s="22">
        <f t="shared" si="16"/>
        <v>58</v>
      </c>
      <c r="I442" s="23" t="s">
        <v>27</v>
      </c>
      <c r="J442" s="20"/>
      <c r="K442" s="6" t="s">
        <v>1256</v>
      </c>
      <c r="L442" s="25"/>
      <c r="M442" s="45" t="s">
        <v>1367</v>
      </c>
      <c r="N442" s="6"/>
      <c r="O442" s="6" t="s">
        <v>1368</v>
      </c>
      <c r="P442" s="6">
        <v>165</v>
      </c>
      <c r="Q442" s="6">
        <v>57</v>
      </c>
      <c r="R442" s="26">
        <v>76</v>
      </c>
      <c r="S442" s="26"/>
      <c r="T442" s="26"/>
      <c r="U442" s="26"/>
      <c r="V442" s="6" t="s">
        <v>252</v>
      </c>
    </row>
    <row r="443" spans="1:22">
      <c r="A443" s="20">
        <v>433</v>
      </c>
      <c r="B443" s="6" t="s">
        <v>1254</v>
      </c>
      <c r="C443" s="6" t="s">
        <v>1369</v>
      </c>
      <c r="D443" s="6"/>
      <c r="E443" s="6" t="s">
        <v>1370</v>
      </c>
      <c r="F443" s="21">
        <v>7101959</v>
      </c>
      <c r="G443" s="21" t="str">
        <f t="shared" si="18"/>
        <v>1959</v>
      </c>
      <c r="H443" s="22">
        <f t="shared" si="16"/>
        <v>67</v>
      </c>
      <c r="I443" s="23" t="s">
        <v>27</v>
      </c>
      <c r="J443" s="20"/>
      <c r="K443" s="6" t="s">
        <v>1256</v>
      </c>
      <c r="L443" s="25"/>
      <c r="M443" s="45" t="s">
        <v>1371</v>
      </c>
      <c r="N443" s="6"/>
      <c r="O443" s="6" t="s">
        <v>104</v>
      </c>
      <c r="P443" s="6"/>
      <c r="Q443" s="6"/>
      <c r="R443" s="26"/>
      <c r="S443" s="26"/>
      <c r="T443" s="26"/>
      <c r="U443" s="26"/>
      <c r="V443" s="6" t="s">
        <v>252</v>
      </c>
    </row>
    <row r="444" spans="1:22">
      <c r="A444" s="17">
        <v>434</v>
      </c>
      <c r="B444" s="6" t="s">
        <v>1254</v>
      </c>
      <c r="C444" s="6" t="s">
        <v>1372</v>
      </c>
      <c r="D444" s="6"/>
      <c r="E444" s="6" t="s">
        <v>191</v>
      </c>
      <c r="F444" s="21">
        <v>20061958</v>
      </c>
      <c r="G444" s="21" t="str">
        <f t="shared" si="18"/>
        <v>1958</v>
      </c>
      <c r="H444" s="22">
        <f t="shared" si="16"/>
        <v>68</v>
      </c>
      <c r="I444" s="23"/>
      <c r="J444" s="20" t="s">
        <v>27</v>
      </c>
      <c r="K444" s="6" t="s">
        <v>1256</v>
      </c>
      <c r="L444" s="25"/>
      <c r="M444" s="45" t="s">
        <v>1373</v>
      </c>
      <c r="N444" s="6"/>
      <c r="O444" s="6" t="s">
        <v>570</v>
      </c>
      <c r="P444" s="6">
        <v>155</v>
      </c>
      <c r="Q444" s="6">
        <v>35</v>
      </c>
      <c r="R444" s="26"/>
      <c r="S444" s="26"/>
      <c r="T444" s="26"/>
      <c r="U444" s="26"/>
      <c r="V444" s="6" t="s">
        <v>252</v>
      </c>
    </row>
    <row r="445" spans="1:22">
      <c r="A445" s="20">
        <v>435</v>
      </c>
      <c r="B445" s="6" t="s">
        <v>1254</v>
      </c>
      <c r="C445" s="6" t="s">
        <v>1374</v>
      </c>
      <c r="D445" s="6"/>
      <c r="E445" s="6" t="s">
        <v>40</v>
      </c>
      <c r="F445" s="21">
        <v>1011959</v>
      </c>
      <c r="G445" s="21" t="str">
        <f t="shared" si="18"/>
        <v>1959</v>
      </c>
      <c r="H445" s="22">
        <f t="shared" si="16"/>
        <v>67</v>
      </c>
      <c r="I445" s="23" t="s">
        <v>27</v>
      </c>
      <c r="J445" s="20"/>
      <c r="K445" s="6" t="s">
        <v>1259</v>
      </c>
      <c r="L445" s="25"/>
      <c r="M445" s="45" t="s">
        <v>1375</v>
      </c>
      <c r="N445" s="6"/>
      <c r="O445" s="6" t="s">
        <v>113</v>
      </c>
      <c r="P445" s="6">
        <v>152</v>
      </c>
      <c r="Q445" s="6">
        <v>45</v>
      </c>
      <c r="R445" s="26"/>
      <c r="S445" s="26"/>
      <c r="T445" s="26"/>
      <c r="U445" s="26"/>
    </row>
    <row r="446" spans="1:22">
      <c r="A446" s="17">
        <v>436</v>
      </c>
      <c r="B446" s="6" t="s">
        <v>1254</v>
      </c>
      <c r="C446" s="6" t="s">
        <v>1376</v>
      </c>
      <c r="D446" s="6"/>
      <c r="E446" s="6" t="s">
        <v>40</v>
      </c>
      <c r="F446" s="21">
        <v>30041952</v>
      </c>
      <c r="G446" s="21" t="str">
        <f t="shared" si="18"/>
        <v>1952</v>
      </c>
      <c r="H446" s="22">
        <f t="shared" si="16"/>
        <v>74</v>
      </c>
      <c r="I446" s="23" t="s">
        <v>27</v>
      </c>
      <c r="J446" s="20"/>
      <c r="K446" s="6" t="s">
        <v>1259</v>
      </c>
      <c r="L446" s="25"/>
      <c r="M446" s="45" t="s">
        <v>1377</v>
      </c>
      <c r="N446" s="6"/>
      <c r="O446" s="6" t="s">
        <v>113</v>
      </c>
      <c r="P446" s="6">
        <v>150</v>
      </c>
      <c r="Q446" s="6">
        <v>65</v>
      </c>
      <c r="R446" s="26"/>
      <c r="S446" s="26"/>
      <c r="T446" s="26"/>
      <c r="U446" s="26"/>
      <c r="V446" s="6" t="s">
        <v>334</v>
      </c>
    </row>
    <row r="447" spans="1:22">
      <c r="A447" s="20">
        <v>437</v>
      </c>
      <c r="B447" s="6" t="s">
        <v>1254</v>
      </c>
      <c r="C447" s="6" t="s">
        <v>708</v>
      </c>
      <c r="D447" s="6"/>
      <c r="E447" s="6" t="s">
        <v>2374</v>
      </c>
      <c r="F447" s="21">
        <v>5061988</v>
      </c>
      <c r="G447" s="21" t="str">
        <f t="shared" si="18"/>
        <v>1988</v>
      </c>
      <c r="H447" s="22">
        <f t="shared" si="16"/>
        <v>38</v>
      </c>
      <c r="I447" s="23" t="s">
        <v>27</v>
      </c>
      <c r="J447" s="20"/>
      <c r="K447" s="6" t="s">
        <v>1256</v>
      </c>
      <c r="L447" s="45" t="s">
        <v>1378</v>
      </c>
      <c r="M447" s="45" t="s">
        <v>1379</v>
      </c>
      <c r="N447" s="6"/>
      <c r="O447" s="6" t="s">
        <v>34</v>
      </c>
      <c r="P447" s="6">
        <v>173</v>
      </c>
      <c r="Q447" s="6">
        <v>65</v>
      </c>
      <c r="R447" s="26"/>
      <c r="S447" s="26"/>
      <c r="T447" s="26"/>
      <c r="U447" s="26"/>
    </row>
    <row r="448" spans="1:22">
      <c r="A448" s="17">
        <v>438</v>
      </c>
      <c r="B448" s="6" t="s">
        <v>1254</v>
      </c>
      <c r="C448" s="6" t="s">
        <v>1380</v>
      </c>
      <c r="D448" s="6"/>
      <c r="E448" s="6" t="s">
        <v>2374</v>
      </c>
      <c r="F448" s="21">
        <v>6021981</v>
      </c>
      <c r="G448" s="21" t="str">
        <f t="shared" si="18"/>
        <v>1981</v>
      </c>
      <c r="H448" s="22">
        <f t="shared" si="16"/>
        <v>45</v>
      </c>
      <c r="I448" s="23" t="s">
        <v>27</v>
      </c>
      <c r="J448" s="20"/>
      <c r="K448" s="6" t="s">
        <v>259</v>
      </c>
      <c r="L448" s="25"/>
      <c r="M448" s="45" t="s">
        <v>1381</v>
      </c>
      <c r="N448" s="6"/>
      <c r="O448" s="6" t="s">
        <v>143</v>
      </c>
      <c r="P448" s="6">
        <v>162</v>
      </c>
      <c r="Q448" s="6">
        <v>60</v>
      </c>
      <c r="R448" s="26">
        <v>70</v>
      </c>
      <c r="S448" s="26"/>
      <c r="T448" s="26"/>
      <c r="U448" s="26"/>
      <c r="V448" s="6" t="s">
        <v>252</v>
      </c>
    </row>
    <row r="449" spans="1:22">
      <c r="A449" s="20">
        <v>439</v>
      </c>
      <c r="B449" s="6" t="s">
        <v>1254</v>
      </c>
      <c r="C449" s="6" t="s">
        <v>1382</v>
      </c>
      <c r="D449" s="6"/>
      <c r="E449" s="6" t="s">
        <v>40</v>
      </c>
      <c r="F449" s="21">
        <v>1011953</v>
      </c>
      <c r="G449" s="21" t="str">
        <f t="shared" si="18"/>
        <v>1953</v>
      </c>
      <c r="H449" s="22">
        <f t="shared" si="16"/>
        <v>73</v>
      </c>
      <c r="I449" s="23"/>
      <c r="J449" s="20" t="s">
        <v>27</v>
      </c>
      <c r="K449" s="6" t="s">
        <v>259</v>
      </c>
      <c r="L449" s="25"/>
      <c r="M449" s="45" t="s">
        <v>1383</v>
      </c>
      <c r="N449" s="6"/>
      <c r="O449" s="6" t="s">
        <v>570</v>
      </c>
      <c r="P449" s="6">
        <v>155</v>
      </c>
      <c r="Q449" s="6">
        <v>53</v>
      </c>
      <c r="R449" s="26"/>
      <c r="S449" s="26"/>
      <c r="T449" s="26"/>
      <c r="U449" s="26"/>
      <c r="V449" s="6" t="s">
        <v>252</v>
      </c>
    </row>
    <row r="450" spans="1:22">
      <c r="A450" s="17">
        <v>440</v>
      </c>
      <c r="B450" s="6" t="s">
        <v>1254</v>
      </c>
      <c r="C450" s="6" t="s">
        <v>1384</v>
      </c>
      <c r="D450" s="6"/>
      <c r="E450" s="6" t="s">
        <v>40</v>
      </c>
      <c r="F450" s="21">
        <v>16041956</v>
      </c>
      <c r="G450" s="21" t="str">
        <f t="shared" si="18"/>
        <v>1956</v>
      </c>
      <c r="H450" s="22">
        <f t="shared" si="16"/>
        <v>70</v>
      </c>
      <c r="I450" s="23" t="s">
        <v>27</v>
      </c>
      <c r="J450" s="20"/>
      <c r="K450" s="6"/>
      <c r="L450" s="25"/>
      <c r="M450" s="45" t="s">
        <v>1385</v>
      </c>
      <c r="N450" s="6"/>
      <c r="O450" s="6" t="s">
        <v>284</v>
      </c>
      <c r="P450" s="6">
        <v>156</v>
      </c>
      <c r="Q450" s="6">
        <v>48</v>
      </c>
      <c r="R450" s="26">
        <v>68</v>
      </c>
      <c r="S450" s="26">
        <v>4</v>
      </c>
      <c r="T450" s="26">
        <v>4</v>
      </c>
      <c r="U450" s="26"/>
      <c r="V450" s="6" t="s">
        <v>1386</v>
      </c>
    </row>
    <row r="451" spans="1:22">
      <c r="A451" s="20">
        <v>441</v>
      </c>
      <c r="B451" s="6" t="s">
        <v>1254</v>
      </c>
      <c r="C451" s="6" t="s">
        <v>1387</v>
      </c>
      <c r="D451" s="6"/>
      <c r="E451" s="6" t="s">
        <v>2374</v>
      </c>
      <c r="F451" s="21">
        <v>17092003</v>
      </c>
      <c r="G451" s="21" t="str">
        <f t="shared" si="18"/>
        <v>2003</v>
      </c>
      <c r="H451" s="22">
        <f t="shared" si="16"/>
        <v>23</v>
      </c>
      <c r="I451" s="23"/>
      <c r="J451" s="20" t="s">
        <v>27</v>
      </c>
      <c r="K451" s="6"/>
      <c r="L451" s="25"/>
      <c r="M451" s="45" t="s">
        <v>1388</v>
      </c>
      <c r="N451" s="6"/>
      <c r="O451" s="6" t="s">
        <v>34</v>
      </c>
      <c r="P451" s="6">
        <v>162</v>
      </c>
      <c r="Q451" s="6">
        <v>85</v>
      </c>
      <c r="R451" s="26"/>
      <c r="S451" s="26"/>
      <c r="T451" s="26"/>
      <c r="U451" s="26"/>
    </row>
    <row r="452" spans="1:22">
      <c r="A452" s="17">
        <v>442</v>
      </c>
      <c r="B452" s="6" t="s">
        <v>1254</v>
      </c>
      <c r="C452" s="6" t="s">
        <v>1389</v>
      </c>
      <c r="D452" s="6"/>
      <c r="E452" s="6" t="s">
        <v>2374</v>
      </c>
      <c r="F452" s="21">
        <v>8111976</v>
      </c>
      <c r="G452" s="21" t="str">
        <f t="shared" si="18"/>
        <v>1976</v>
      </c>
      <c r="H452" s="22">
        <f t="shared" si="16"/>
        <v>50</v>
      </c>
      <c r="I452" s="23" t="s">
        <v>27</v>
      </c>
      <c r="J452" s="20"/>
      <c r="K452" s="6" t="s">
        <v>1256</v>
      </c>
      <c r="L452" s="25"/>
      <c r="M452" s="45" t="s">
        <v>1390</v>
      </c>
      <c r="N452" s="6"/>
      <c r="O452" s="6" t="s">
        <v>87</v>
      </c>
      <c r="P452" s="6">
        <v>160</v>
      </c>
      <c r="Q452" s="6"/>
      <c r="R452" s="26"/>
      <c r="S452" s="26"/>
      <c r="T452" s="26"/>
      <c r="U452" s="26"/>
      <c r="V452" s="6" t="s">
        <v>1391</v>
      </c>
    </row>
    <row r="453" spans="1:22">
      <c r="A453" s="20">
        <v>443</v>
      </c>
      <c r="B453" s="6" t="s">
        <v>1254</v>
      </c>
      <c r="C453" s="6" t="s">
        <v>1392</v>
      </c>
      <c r="D453" s="6"/>
      <c r="E453" s="6" t="s">
        <v>1370</v>
      </c>
      <c r="F453" s="21">
        <v>9091943</v>
      </c>
      <c r="G453" s="21" t="str">
        <f t="shared" si="18"/>
        <v>1943</v>
      </c>
      <c r="H453" s="22">
        <f t="shared" si="16"/>
        <v>83</v>
      </c>
      <c r="I453" s="23"/>
      <c r="J453" s="20" t="s">
        <v>27</v>
      </c>
      <c r="K453" s="6" t="s">
        <v>1259</v>
      </c>
      <c r="L453" s="25"/>
      <c r="M453" s="45" t="s">
        <v>1393</v>
      </c>
      <c r="N453" s="6"/>
      <c r="O453" s="6" t="s">
        <v>149</v>
      </c>
      <c r="P453" s="6">
        <v>160</v>
      </c>
      <c r="Q453" s="6">
        <v>62</v>
      </c>
      <c r="R453" s="26">
        <v>85</v>
      </c>
      <c r="S453" s="26"/>
      <c r="T453" s="26"/>
      <c r="U453" s="26"/>
      <c r="V453" s="6" t="s">
        <v>1394</v>
      </c>
    </row>
    <row r="454" spans="1:22">
      <c r="A454" s="17">
        <v>444</v>
      </c>
      <c r="B454" s="6" t="s">
        <v>1254</v>
      </c>
      <c r="C454" s="6" t="s">
        <v>1395</v>
      </c>
      <c r="D454" s="6"/>
      <c r="E454" s="6" t="s">
        <v>2374</v>
      </c>
      <c r="F454" s="21">
        <v>10121997</v>
      </c>
      <c r="G454" s="21" t="str">
        <f t="shared" si="18"/>
        <v>1997</v>
      </c>
      <c r="H454" s="22">
        <f t="shared" si="16"/>
        <v>29</v>
      </c>
      <c r="I454" s="23"/>
      <c r="J454" s="20" t="s">
        <v>27</v>
      </c>
      <c r="K454" s="6" t="s">
        <v>1357</v>
      </c>
      <c r="L454" s="25"/>
      <c r="M454" s="45" t="s">
        <v>1396</v>
      </c>
      <c r="N454" s="6"/>
      <c r="O454" s="6" t="s">
        <v>113</v>
      </c>
      <c r="P454" s="6">
        <v>170</v>
      </c>
      <c r="Q454" s="6">
        <v>68</v>
      </c>
      <c r="R454" s="26"/>
      <c r="S454" s="26">
        <v>10</v>
      </c>
      <c r="T454" s="26">
        <v>10</v>
      </c>
      <c r="U454" s="26"/>
    </row>
    <row r="455" spans="1:22">
      <c r="A455" s="20">
        <v>445</v>
      </c>
      <c r="B455" s="6" t="s">
        <v>1254</v>
      </c>
      <c r="C455" s="6" t="s">
        <v>1397</v>
      </c>
      <c r="D455" s="6"/>
      <c r="E455" s="6" t="s">
        <v>2374</v>
      </c>
      <c r="F455" s="21">
        <v>15112003</v>
      </c>
      <c r="G455" s="21" t="str">
        <f t="shared" si="18"/>
        <v>2003</v>
      </c>
      <c r="H455" s="22">
        <f t="shared" si="16"/>
        <v>23</v>
      </c>
      <c r="I455" s="23" t="s">
        <v>27</v>
      </c>
      <c r="J455" s="20"/>
      <c r="K455" s="6"/>
      <c r="L455" s="25"/>
      <c r="M455" s="45" t="s">
        <v>1398</v>
      </c>
      <c r="N455" s="6"/>
      <c r="O455" s="6" t="s">
        <v>87</v>
      </c>
      <c r="P455" s="6">
        <v>163</v>
      </c>
      <c r="Q455" s="6">
        <v>55</v>
      </c>
      <c r="R455" s="26">
        <v>68</v>
      </c>
      <c r="S455" s="26">
        <v>10</v>
      </c>
      <c r="T455" s="26">
        <v>10</v>
      </c>
      <c r="U455" s="26"/>
    </row>
    <row r="456" spans="1:22">
      <c r="A456" s="17">
        <v>446</v>
      </c>
      <c r="B456" s="6" t="s">
        <v>1254</v>
      </c>
      <c r="C456" s="6" t="s">
        <v>1399</v>
      </c>
      <c r="D456" s="6"/>
      <c r="E456" s="6" t="s">
        <v>40</v>
      </c>
      <c r="F456" s="21">
        <v>1011941</v>
      </c>
      <c r="G456" s="21" t="str">
        <f t="shared" si="18"/>
        <v>1941</v>
      </c>
      <c r="H456" s="22">
        <f t="shared" si="16"/>
        <v>85</v>
      </c>
      <c r="I456" s="23"/>
      <c r="J456" s="20" t="s">
        <v>27</v>
      </c>
      <c r="K456" s="6" t="s">
        <v>1256</v>
      </c>
      <c r="L456" s="25"/>
      <c r="M456" s="45" t="s">
        <v>1400</v>
      </c>
      <c r="N456" s="6"/>
      <c r="O456" s="6" t="s">
        <v>146</v>
      </c>
      <c r="P456" s="6">
        <v>140</v>
      </c>
      <c r="Q456" s="6">
        <v>42</v>
      </c>
      <c r="R456" s="26">
        <v>70</v>
      </c>
      <c r="S456" s="26">
        <v>8</v>
      </c>
      <c r="T456" s="26">
        <v>4</v>
      </c>
      <c r="U456" s="26"/>
      <c r="V456" s="6" t="s">
        <v>1401</v>
      </c>
    </row>
    <row r="457" spans="1:22">
      <c r="A457" s="20">
        <v>447</v>
      </c>
      <c r="B457" s="6" t="s">
        <v>1254</v>
      </c>
      <c r="C457" s="6" t="s">
        <v>1402</v>
      </c>
      <c r="D457" s="6"/>
      <c r="E457" s="6" t="s">
        <v>40</v>
      </c>
      <c r="F457" s="21">
        <v>10121964</v>
      </c>
      <c r="G457" s="21" t="str">
        <f t="shared" si="18"/>
        <v>1964</v>
      </c>
      <c r="H457" s="22">
        <f t="shared" si="16"/>
        <v>62</v>
      </c>
      <c r="I457" s="23"/>
      <c r="J457" s="20" t="s">
        <v>27</v>
      </c>
      <c r="K457" s="6" t="s">
        <v>259</v>
      </c>
      <c r="L457" s="25"/>
      <c r="M457" s="45" t="s">
        <v>1403</v>
      </c>
      <c r="N457" s="6"/>
      <c r="O457" s="6" t="s">
        <v>143</v>
      </c>
      <c r="P457" s="6">
        <v>145</v>
      </c>
      <c r="Q457" s="6">
        <v>42</v>
      </c>
      <c r="R457" s="26">
        <v>78</v>
      </c>
      <c r="S457" s="26">
        <v>8</v>
      </c>
      <c r="T457" s="26">
        <v>8</v>
      </c>
      <c r="U457" s="26"/>
      <c r="V457" s="6" t="s">
        <v>1306</v>
      </c>
    </row>
    <row r="458" spans="1:22">
      <c r="A458" s="17">
        <v>448</v>
      </c>
      <c r="B458" s="6" t="s">
        <v>1254</v>
      </c>
      <c r="C458" s="6" t="s">
        <v>1404</v>
      </c>
      <c r="D458" s="6"/>
      <c r="E458" s="6" t="s">
        <v>40</v>
      </c>
      <c r="F458" s="21">
        <v>20101949</v>
      </c>
      <c r="G458" s="21" t="str">
        <f t="shared" si="18"/>
        <v>1949</v>
      </c>
      <c r="H458" s="22">
        <f t="shared" si="16"/>
        <v>77</v>
      </c>
      <c r="I458" s="23"/>
      <c r="J458" s="20" t="s">
        <v>27</v>
      </c>
      <c r="K458" s="6" t="s">
        <v>1259</v>
      </c>
      <c r="L458" s="25"/>
      <c r="M458" s="45" t="s">
        <v>1405</v>
      </c>
      <c r="N458" s="6"/>
      <c r="O458" s="6" t="s">
        <v>87</v>
      </c>
      <c r="P458" s="6"/>
      <c r="Q458" s="6"/>
      <c r="R458" s="26">
        <v>72</v>
      </c>
      <c r="S458" s="26"/>
      <c r="T458" s="26"/>
      <c r="U458" s="26"/>
      <c r="V458" s="6" t="s">
        <v>334</v>
      </c>
    </row>
    <row r="459" spans="1:22">
      <c r="A459" s="20">
        <v>449</v>
      </c>
      <c r="B459" s="6" t="s">
        <v>1254</v>
      </c>
      <c r="C459" s="6" t="s">
        <v>1406</v>
      </c>
      <c r="D459" s="6"/>
      <c r="E459" s="6" t="s">
        <v>40</v>
      </c>
      <c r="F459" s="21">
        <v>15041963</v>
      </c>
      <c r="G459" s="21" t="str">
        <f t="shared" si="18"/>
        <v>1963</v>
      </c>
      <c r="H459" s="22">
        <f t="shared" ref="H459:H522" si="19">2026-G459</f>
        <v>63</v>
      </c>
      <c r="I459" s="23"/>
      <c r="J459" s="20" t="s">
        <v>27</v>
      </c>
      <c r="K459" s="6" t="s">
        <v>259</v>
      </c>
      <c r="L459" s="25"/>
      <c r="M459" s="45" t="s">
        <v>1407</v>
      </c>
      <c r="N459" s="6"/>
      <c r="O459" s="6" t="s">
        <v>87</v>
      </c>
      <c r="P459" s="6">
        <v>147</v>
      </c>
      <c r="Q459" s="6">
        <v>51</v>
      </c>
      <c r="R459" s="26"/>
      <c r="S459" s="26"/>
      <c r="T459" s="26"/>
      <c r="U459" s="26"/>
    </row>
    <row r="460" spans="1:22">
      <c r="A460" s="17">
        <v>450</v>
      </c>
      <c r="B460" s="6" t="s">
        <v>1254</v>
      </c>
      <c r="C460" s="6" t="s">
        <v>1408</v>
      </c>
      <c r="D460" s="6"/>
      <c r="E460" s="6" t="s">
        <v>40</v>
      </c>
      <c r="F460" s="21">
        <v>24031959</v>
      </c>
      <c r="G460" s="21" t="str">
        <f t="shared" si="18"/>
        <v>1959</v>
      </c>
      <c r="H460" s="22">
        <f t="shared" si="19"/>
        <v>67</v>
      </c>
      <c r="I460" s="23" t="s">
        <v>27</v>
      </c>
      <c r="J460" s="20"/>
      <c r="K460" s="6" t="s">
        <v>259</v>
      </c>
      <c r="L460" s="25"/>
      <c r="M460" s="45" t="s">
        <v>1409</v>
      </c>
      <c r="N460" s="6"/>
      <c r="O460" s="6" t="s">
        <v>687</v>
      </c>
      <c r="P460" s="6">
        <v>156</v>
      </c>
      <c r="Q460" s="6">
        <v>48</v>
      </c>
      <c r="R460" s="26"/>
      <c r="S460" s="26"/>
      <c r="T460" s="26"/>
      <c r="U460" s="26"/>
      <c r="V460" s="6" t="s">
        <v>252</v>
      </c>
    </row>
    <row r="461" spans="1:22">
      <c r="A461" s="20">
        <v>451</v>
      </c>
      <c r="B461" s="6" t="s">
        <v>1254</v>
      </c>
      <c r="C461" s="6" t="s">
        <v>1410</v>
      </c>
      <c r="D461" s="6"/>
      <c r="E461" s="6" t="s">
        <v>2374</v>
      </c>
      <c r="F461" s="21">
        <v>12122007</v>
      </c>
      <c r="G461" s="21" t="str">
        <f t="shared" si="18"/>
        <v>2007</v>
      </c>
      <c r="H461" s="22">
        <f t="shared" si="19"/>
        <v>19</v>
      </c>
      <c r="I461" s="23" t="s">
        <v>27</v>
      </c>
      <c r="J461" s="20"/>
      <c r="K461" s="6" t="s">
        <v>1256</v>
      </c>
      <c r="L461" s="25"/>
      <c r="M461" s="45" t="s">
        <v>1411</v>
      </c>
      <c r="N461" s="6"/>
      <c r="O461" s="6" t="s">
        <v>504</v>
      </c>
      <c r="P461" s="6">
        <v>170</v>
      </c>
      <c r="Q461" s="6">
        <v>55</v>
      </c>
      <c r="R461" s="26"/>
      <c r="S461" s="26"/>
      <c r="T461" s="26"/>
      <c r="U461" s="26"/>
    </row>
    <row r="462" spans="1:22">
      <c r="A462" s="17">
        <v>452</v>
      </c>
      <c r="B462" s="6" t="s">
        <v>1254</v>
      </c>
      <c r="C462" s="6" t="s">
        <v>1412</v>
      </c>
      <c r="D462" s="6"/>
      <c r="E462" s="6" t="s">
        <v>40</v>
      </c>
      <c r="F462" s="21">
        <v>1011939</v>
      </c>
      <c r="G462" s="21" t="str">
        <f t="shared" si="18"/>
        <v>1939</v>
      </c>
      <c r="H462" s="22">
        <f t="shared" si="19"/>
        <v>87</v>
      </c>
      <c r="I462" s="23" t="s">
        <v>27</v>
      </c>
      <c r="J462" s="20"/>
      <c r="K462" s="6" t="s">
        <v>259</v>
      </c>
      <c r="L462" s="25"/>
      <c r="M462" s="45" t="s">
        <v>1413</v>
      </c>
      <c r="N462" s="6"/>
      <c r="O462" s="6" t="s">
        <v>60</v>
      </c>
      <c r="P462" s="6">
        <v>165</v>
      </c>
      <c r="Q462" s="6">
        <v>50</v>
      </c>
      <c r="R462" s="26"/>
      <c r="S462" s="26"/>
      <c r="T462" s="26"/>
      <c r="U462" s="26"/>
    </row>
    <row r="463" spans="1:22">
      <c r="A463" s="20">
        <v>453</v>
      </c>
      <c r="B463" s="6" t="s">
        <v>1254</v>
      </c>
      <c r="C463" s="6" t="s">
        <v>1414</v>
      </c>
      <c r="D463" s="6"/>
      <c r="E463" s="6" t="s">
        <v>2374</v>
      </c>
      <c r="F463" s="21">
        <v>14052008</v>
      </c>
      <c r="G463" s="21" t="str">
        <f t="shared" si="18"/>
        <v>2008</v>
      </c>
      <c r="H463" s="22">
        <f t="shared" si="19"/>
        <v>18</v>
      </c>
      <c r="I463" s="23" t="s">
        <v>27</v>
      </c>
      <c r="J463" s="20"/>
      <c r="K463" s="6" t="s">
        <v>259</v>
      </c>
      <c r="L463" s="25"/>
      <c r="M463" s="45" t="s">
        <v>1415</v>
      </c>
      <c r="N463" s="6"/>
      <c r="O463" s="6" t="s">
        <v>504</v>
      </c>
      <c r="P463" s="6">
        <v>170</v>
      </c>
      <c r="Q463" s="6">
        <v>57</v>
      </c>
      <c r="R463" s="26"/>
      <c r="S463" s="26"/>
      <c r="T463" s="26"/>
      <c r="U463" s="26"/>
    </row>
    <row r="464" spans="1:22">
      <c r="A464" s="17">
        <v>454</v>
      </c>
      <c r="B464" s="6" t="s">
        <v>1254</v>
      </c>
      <c r="C464" s="6" t="s">
        <v>1416</v>
      </c>
      <c r="D464" s="6"/>
      <c r="E464" s="6" t="s">
        <v>2374</v>
      </c>
      <c r="F464" s="21">
        <v>22031999</v>
      </c>
      <c r="G464" s="21" t="str">
        <f t="shared" si="18"/>
        <v>1999</v>
      </c>
      <c r="H464" s="22">
        <f t="shared" si="19"/>
        <v>27</v>
      </c>
      <c r="I464" s="23"/>
      <c r="J464" s="20" t="s">
        <v>27</v>
      </c>
      <c r="K464" s="6" t="s">
        <v>1357</v>
      </c>
      <c r="L464" s="25"/>
      <c r="M464" s="45" t="s">
        <v>1417</v>
      </c>
      <c r="N464" s="6"/>
      <c r="O464" s="6" t="s">
        <v>504</v>
      </c>
      <c r="P464" s="6">
        <v>153</v>
      </c>
      <c r="Q464" s="6">
        <v>63</v>
      </c>
      <c r="R464" s="26"/>
      <c r="S464" s="26"/>
      <c r="T464" s="26"/>
      <c r="U464" s="26"/>
    </row>
    <row r="465" spans="1:22">
      <c r="A465" s="20">
        <v>455</v>
      </c>
      <c r="B465" s="6" t="s">
        <v>1254</v>
      </c>
      <c r="C465" s="6" t="s">
        <v>1418</v>
      </c>
      <c r="D465" s="6"/>
      <c r="E465" s="6" t="s">
        <v>2374</v>
      </c>
      <c r="F465" s="21">
        <v>1061970</v>
      </c>
      <c r="G465" s="21" t="str">
        <f t="shared" si="18"/>
        <v>1970</v>
      </c>
      <c r="H465" s="22">
        <f t="shared" si="19"/>
        <v>56</v>
      </c>
      <c r="I465" s="23"/>
      <c r="J465" s="20" t="s">
        <v>27</v>
      </c>
      <c r="K465" s="6" t="s">
        <v>1357</v>
      </c>
      <c r="L465" s="25"/>
      <c r="M465" s="45" t="s">
        <v>1419</v>
      </c>
      <c r="N465" s="6"/>
      <c r="O465" s="6" t="s">
        <v>87</v>
      </c>
      <c r="P465" s="6">
        <v>160</v>
      </c>
      <c r="Q465" s="6">
        <v>65</v>
      </c>
      <c r="R465" s="26"/>
      <c r="S465" s="26"/>
      <c r="T465" s="26"/>
      <c r="U465" s="26"/>
      <c r="V465" s="6" t="s">
        <v>334</v>
      </c>
    </row>
    <row r="466" spans="1:22">
      <c r="A466" s="17">
        <v>456</v>
      </c>
      <c r="B466" s="6" t="s">
        <v>1254</v>
      </c>
      <c r="C466" s="6" t="s">
        <v>1420</v>
      </c>
      <c r="D466" s="6"/>
      <c r="E466" s="6" t="s">
        <v>2374</v>
      </c>
      <c r="F466" s="21">
        <v>1121968</v>
      </c>
      <c r="G466" s="21" t="str">
        <f t="shared" si="18"/>
        <v>1968</v>
      </c>
      <c r="H466" s="22">
        <f t="shared" si="19"/>
        <v>58</v>
      </c>
      <c r="I466" s="23" t="s">
        <v>27</v>
      </c>
      <c r="J466" s="20"/>
      <c r="K466" s="6" t="s">
        <v>1357</v>
      </c>
      <c r="L466" s="25"/>
      <c r="M466" s="45" t="s">
        <v>1421</v>
      </c>
      <c r="N466" s="6"/>
      <c r="O466" s="6" t="s">
        <v>34</v>
      </c>
      <c r="P466" s="6">
        <v>168</v>
      </c>
      <c r="Q466" s="6">
        <v>55</v>
      </c>
      <c r="R466" s="26">
        <v>87</v>
      </c>
      <c r="S466" s="26">
        <v>8</v>
      </c>
      <c r="T466" s="26">
        <v>8</v>
      </c>
      <c r="U466" s="26"/>
      <c r="V466" s="6" t="s">
        <v>604</v>
      </c>
    </row>
    <row r="467" spans="1:22">
      <c r="A467" s="20">
        <v>457</v>
      </c>
      <c r="B467" s="6" t="s">
        <v>1254</v>
      </c>
      <c r="C467" s="6" t="s">
        <v>1422</v>
      </c>
      <c r="D467" s="6"/>
      <c r="E467" s="6" t="s">
        <v>2374</v>
      </c>
      <c r="F467" s="21">
        <v>20011991</v>
      </c>
      <c r="G467" s="21" t="str">
        <f t="shared" si="18"/>
        <v>1991</v>
      </c>
      <c r="H467" s="22">
        <f t="shared" si="19"/>
        <v>35</v>
      </c>
      <c r="I467" s="23"/>
      <c r="J467" s="20" t="s">
        <v>27</v>
      </c>
      <c r="K467" s="6" t="s">
        <v>1423</v>
      </c>
      <c r="L467" s="25"/>
      <c r="M467" s="45" t="s">
        <v>1424</v>
      </c>
      <c r="N467" s="6"/>
      <c r="O467" s="6" t="s">
        <v>1425</v>
      </c>
      <c r="P467" s="6">
        <v>168</v>
      </c>
      <c r="Q467" s="6">
        <v>65</v>
      </c>
      <c r="R467" s="26">
        <v>80</v>
      </c>
      <c r="S467" s="26">
        <v>10</v>
      </c>
      <c r="T467" s="26">
        <v>10</v>
      </c>
      <c r="U467" s="26"/>
    </row>
    <row r="468" spans="1:22">
      <c r="A468" s="17">
        <v>458</v>
      </c>
      <c r="B468" s="6" t="s">
        <v>1254</v>
      </c>
      <c r="C468" s="6" t="s">
        <v>1426</v>
      </c>
      <c r="D468" s="6"/>
      <c r="E468" s="6" t="s">
        <v>2374</v>
      </c>
      <c r="F468" s="21">
        <v>19051974</v>
      </c>
      <c r="G468" s="21" t="str">
        <f t="shared" ref="G468:G499" si="20">RIGHT(F468,4)</f>
        <v>1974</v>
      </c>
      <c r="H468" s="22">
        <f t="shared" si="19"/>
        <v>52</v>
      </c>
      <c r="I468" s="23"/>
      <c r="J468" s="20" t="s">
        <v>27</v>
      </c>
      <c r="K468" s="6" t="s">
        <v>1357</v>
      </c>
      <c r="L468" s="25"/>
      <c r="M468" s="45" t="s">
        <v>1427</v>
      </c>
      <c r="N468" s="6"/>
      <c r="O468" s="6" t="s">
        <v>634</v>
      </c>
      <c r="P468" s="6">
        <v>148</v>
      </c>
      <c r="Q468" s="6">
        <v>53</v>
      </c>
      <c r="R468" s="26">
        <v>80</v>
      </c>
      <c r="S468" s="26">
        <v>10</v>
      </c>
      <c r="T468" s="26">
        <v>10</v>
      </c>
      <c r="U468" s="26"/>
    </row>
    <row r="469" spans="1:22">
      <c r="A469" s="20">
        <v>459</v>
      </c>
      <c r="B469" s="6" t="s">
        <v>1254</v>
      </c>
      <c r="C469" s="6" t="s">
        <v>1428</v>
      </c>
      <c r="D469" s="6"/>
      <c r="E469" s="6" t="s">
        <v>2374</v>
      </c>
      <c r="F469" s="21">
        <v>31081972</v>
      </c>
      <c r="G469" s="21" t="str">
        <f t="shared" si="20"/>
        <v>1972</v>
      </c>
      <c r="H469" s="22">
        <f t="shared" si="19"/>
        <v>54</v>
      </c>
      <c r="I469" s="23" t="s">
        <v>27</v>
      </c>
      <c r="J469" s="20"/>
      <c r="K469" s="6" t="s">
        <v>1357</v>
      </c>
      <c r="L469" s="25"/>
      <c r="M469" s="45" t="s">
        <v>1429</v>
      </c>
      <c r="N469" s="6"/>
      <c r="O469" s="6" t="s">
        <v>634</v>
      </c>
      <c r="P469" s="6">
        <v>170</v>
      </c>
      <c r="Q469" s="6">
        <v>60</v>
      </c>
      <c r="R469" s="26">
        <v>80</v>
      </c>
      <c r="S469" s="26">
        <v>10</v>
      </c>
      <c r="T469" s="26">
        <v>10</v>
      </c>
      <c r="U469" s="26"/>
    </row>
    <row r="470" spans="1:22">
      <c r="A470" s="17">
        <v>460</v>
      </c>
      <c r="B470" s="6" t="s">
        <v>1254</v>
      </c>
      <c r="C470" s="6" t="s">
        <v>1430</v>
      </c>
      <c r="D470" s="6"/>
      <c r="E470" s="6" t="s">
        <v>2374</v>
      </c>
      <c r="F470" s="21">
        <v>4102005</v>
      </c>
      <c r="G470" s="21" t="str">
        <f t="shared" si="20"/>
        <v>2005</v>
      </c>
      <c r="H470" s="22">
        <f t="shared" si="19"/>
        <v>21</v>
      </c>
      <c r="I470" s="23" t="s">
        <v>27</v>
      </c>
      <c r="J470" s="20"/>
      <c r="K470" s="6" t="s">
        <v>1357</v>
      </c>
      <c r="L470" s="25"/>
      <c r="M470" s="45" t="s">
        <v>1431</v>
      </c>
      <c r="N470" s="6"/>
      <c r="O470" s="6" t="s">
        <v>634</v>
      </c>
      <c r="P470" s="6">
        <v>168</v>
      </c>
      <c r="Q470" s="6">
        <v>65</v>
      </c>
      <c r="R470" s="26">
        <v>80</v>
      </c>
      <c r="S470" s="26"/>
      <c r="T470" s="26"/>
      <c r="U470" s="26"/>
    </row>
    <row r="471" spans="1:22">
      <c r="A471" s="20">
        <v>461</v>
      </c>
      <c r="B471" s="6" t="s">
        <v>1254</v>
      </c>
      <c r="C471" s="6" t="s">
        <v>1432</v>
      </c>
      <c r="D471" s="6"/>
      <c r="E471" s="6" t="s">
        <v>2374</v>
      </c>
      <c r="F471" s="21">
        <v>17022000</v>
      </c>
      <c r="G471" s="21" t="str">
        <f t="shared" si="20"/>
        <v>2000</v>
      </c>
      <c r="H471" s="22">
        <f t="shared" si="19"/>
        <v>26</v>
      </c>
      <c r="I471" s="23"/>
      <c r="J471" s="20" t="s">
        <v>27</v>
      </c>
      <c r="K471" s="6"/>
      <c r="L471" s="25"/>
      <c r="M471" s="45" t="s">
        <v>1433</v>
      </c>
      <c r="N471" s="6"/>
      <c r="O471" s="6" t="s">
        <v>30</v>
      </c>
      <c r="P471" s="6">
        <v>152</v>
      </c>
      <c r="Q471" s="6">
        <v>55</v>
      </c>
      <c r="R471" s="26">
        <v>92</v>
      </c>
      <c r="S471" s="26">
        <v>10</v>
      </c>
      <c r="T471" s="26">
        <v>10</v>
      </c>
      <c r="U471" s="26"/>
    </row>
    <row r="472" spans="1:22">
      <c r="A472" s="17">
        <v>462</v>
      </c>
      <c r="B472" s="6" t="s">
        <v>1254</v>
      </c>
      <c r="C472" s="6" t="s">
        <v>1434</v>
      </c>
      <c r="D472" s="6"/>
      <c r="E472" s="6" t="s">
        <v>2374</v>
      </c>
      <c r="F472" s="21">
        <v>20041970</v>
      </c>
      <c r="G472" s="21" t="str">
        <f t="shared" si="20"/>
        <v>1970</v>
      </c>
      <c r="H472" s="22">
        <f t="shared" si="19"/>
        <v>56</v>
      </c>
      <c r="I472" s="23" t="s">
        <v>27</v>
      </c>
      <c r="J472" s="20"/>
      <c r="K472" s="6" t="s">
        <v>1357</v>
      </c>
      <c r="L472" s="25"/>
      <c r="M472" s="45" t="s">
        <v>1435</v>
      </c>
      <c r="N472" s="6"/>
      <c r="O472" s="6" t="s">
        <v>570</v>
      </c>
      <c r="P472" s="6">
        <v>162</v>
      </c>
      <c r="Q472" s="6">
        <v>56</v>
      </c>
      <c r="R472" s="26">
        <v>80</v>
      </c>
      <c r="S472" s="26"/>
      <c r="T472" s="26"/>
      <c r="U472" s="26"/>
      <c r="V472" s="6" t="s">
        <v>334</v>
      </c>
    </row>
    <row r="473" spans="1:22">
      <c r="A473" s="20">
        <v>463</v>
      </c>
      <c r="B473" s="6" t="s">
        <v>1254</v>
      </c>
      <c r="C473" s="6" t="s">
        <v>1436</v>
      </c>
      <c r="D473" s="6"/>
      <c r="E473" s="6" t="s">
        <v>40</v>
      </c>
      <c r="F473" s="21">
        <v>1011953</v>
      </c>
      <c r="G473" s="21" t="str">
        <f t="shared" si="20"/>
        <v>1953</v>
      </c>
      <c r="H473" s="22">
        <f t="shared" si="19"/>
        <v>73</v>
      </c>
      <c r="I473" s="23"/>
      <c r="J473" s="20" t="s">
        <v>27</v>
      </c>
      <c r="K473" s="6" t="s">
        <v>1357</v>
      </c>
      <c r="L473" s="25"/>
      <c r="M473" s="45" t="s">
        <v>1437</v>
      </c>
      <c r="N473" s="6"/>
      <c r="O473" s="6" t="s">
        <v>34</v>
      </c>
      <c r="P473" s="6">
        <v>160</v>
      </c>
      <c r="Q473" s="6">
        <v>42</v>
      </c>
      <c r="R473" s="26">
        <v>80</v>
      </c>
      <c r="S473" s="26"/>
      <c r="T473" s="26"/>
      <c r="U473" s="26"/>
      <c r="V473" s="6" t="s">
        <v>334</v>
      </c>
    </row>
    <row r="474" spans="1:22">
      <c r="A474" s="17">
        <v>464</v>
      </c>
      <c r="B474" s="6" t="s">
        <v>1254</v>
      </c>
      <c r="C474" s="6" t="s">
        <v>1438</v>
      </c>
      <c r="D474" s="6"/>
      <c r="E474" s="6" t="s">
        <v>2374</v>
      </c>
      <c r="F474" s="21">
        <v>4041974</v>
      </c>
      <c r="G474" s="21" t="str">
        <f t="shared" si="20"/>
        <v>1974</v>
      </c>
      <c r="H474" s="22">
        <f t="shared" si="19"/>
        <v>52</v>
      </c>
      <c r="I474" s="23" t="s">
        <v>27</v>
      </c>
      <c r="J474" s="20"/>
      <c r="K474" s="6" t="s">
        <v>1357</v>
      </c>
      <c r="L474" s="25"/>
      <c r="M474" s="45" t="s">
        <v>1439</v>
      </c>
      <c r="N474" s="6"/>
      <c r="O474" s="6" t="s">
        <v>42</v>
      </c>
      <c r="P474" s="6">
        <v>165</v>
      </c>
      <c r="Q474" s="6">
        <v>50</v>
      </c>
      <c r="R474" s="26">
        <v>80</v>
      </c>
      <c r="S474" s="26"/>
      <c r="T474" s="26"/>
      <c r="U474" s="26"/>
      <c r="V474" s="6" t="s">
        <v>1440</v>
      </c>
    </row>
    <row r="475" spans="1:22">
      <c r="A475" s="20">
        <v>465</v>
      </c>
      <c r="B475" s="6" t="s">
        <v>1254</v>
      </c>
      <c r="C475" s="6" t="s">
        <v>1441</v>
      </c>
      <c r="D475" s="6"/>
      <c r="E475" s="6" t="s">
        <v>40</v>
      </c>
      <c r="F475" s="21">
        <v>2051954</v>
      </c>
      <c r="G475" s="21" t="str">
        <f t="shared" si="20"/>
        <v>1954</v>
      </c>
      <c r="H475" s="22">
        <f t="shared" si="19"/>
        <v>72</v>
      </c>
      <c r="I475" s="23"/>
      <c r="J475" s="20" t="s">
        <v>27</v>
      </c>
      <c r="K475" s="6"/>
      <c r="L475" s="25"/>
      <c r="M475" s="45" t="s">
        <v>1442</v>
      </c>
      <c r="N475" s="6"/>
      <c r="O475" s="6"/>
      <c r="P475" s="6"/>
      <c r="Q475" s="6"/>
      <c r="R475" s="26"/>
      <c r="S475" s="26"/>
      <c r="T475" s="26"/>
      <c r="U475" s="26"/>
      <c r="V475" s="26"/>
    </row>
    <row r="476" spans="1:22">
      <c r="A476" s="17">
        <v>466</v>
      </c>
      <c r="B476" s="6" t="s">
        <v>1254</v>
      </c>
      <c r="C476" s="6" t="s">
        <v>1443</v>
      </c>
      <c r="D476" s="6"/>
      <c r="E476" s="6" t="s">
        <v>40</v>
      </c>
      <c r="F476" s="21">
        <v>18031954</v>
      </c>
      <c r="G476" s="21" t="str">
        <f t="shared" si="20"/>
        <v>1954</v>
      </c>
      <c r="H476" s="22">
        <f t="shared" si="19"/>
        <v>72</v>
      </c>
      <c r="I476" s="23"/>
      <c r="J476" s="20" t="s">
        <v>27</v>
      </c>
      <c r="K476" s="6"/>
      <c r="L476" s="25"/>
      <c r="M476" s="45" t="s">
        <v>1444</v>
      </c>
      <c r="N476" s="6"/>
      <c r="O476" s="6"/>
      <c r="P476" s="6"/>
      <c r="Q476" s="6"/>
      <c r="R476" s="26"/>
      <c r="S476" s="26"/>
      <c r="T476" s="26"/>
      <c r="U476" s="26"/>
      <c r="V476" s="6" t="s">
        <v>252</v>
      </c>
    </row>
    <row r="477" spans="1:22">
      <c r="A477" s="20">
        <v>467</v>
      </c>
      <c r="B477" s="6" t="s">
        <v>1254</v>
      </c>
      <c r="C477" s="6" t="s">
        <v>1445</v>
      </c>
      <c r="D477" s="6"/>
      <c r="E477" s="6" t="s">
        <v>2374</v>
      </c>
      <c r="F477" s="21">
        <v>1111977</v>
      </c>
      <c r="G477" s="21" t="str">
        <f t="shared" si="20"/>
        <v>1977</v>
      </c>
      <c r="H477" s="22">
        <f t="shared" si="19"/>
        <v>49</v>
      </c>
      <c r="I477" s="23"/>
      <c r="J477" s="20" t="s">
        <v>27</v>
      </c>
      <c r="K477" s="6"/>
      <c r="L477" s="25"/>
      <c r="M477" s="45" t="s">
        <v>1446</v>
      </c>
      <c r="N477" s="6"/>
      <c r="O477" s="6"/>
      <c r="P477" s="6"/>
      <c r="Q477" s="6"/>
      <c r="R477" s="26"/>
      <c r="S477" s="26"/>
      <c r="T477" s="26"/>
      <c r="U477" s="26"/>
    </row>
    <row r="478" spans="1:22">
      <c r="A478" s="17">
        <v>468</v>
      </c>
      <c r="B478" s="6" t="s">
        <v>1254</v>
      </c>
      <c r="C478" s="6" t="s">
        <v>1447</v>
      </c>
      <c r="D478" s="6"/>
      <c r="E478" s="6" t="s">
        <v>40</v>
      </c>
      <c r="F478" s="21">
        <v>10061942</v>
      </c>
      <c r="G478" s="21" t="str">
        <f t="shared" si="20"/>
        <v>1942</v>
      </c>
      <c r="H478" s="22">
        <f t="shared" si="19"/>
        <v>84</v>
      </c>
      <c r="I478" s="23"/>
      <c r="J478" s="20" t="s">
        <v>27</v>
      </c>
      <c r="K478" s="6"/>
      <c r="L478" s="25"/>
      <c r="M478" s="45" t="s">
        <v>1448</v>
      </c>
      <c r="N478" s="6"/>
      <c r="O478" s="6"/>
      <c r="P478" s="6"/>
      <c r="Q478" s="6"/>
      <c r="R478" s="26"/>
      <c r="S478" s="26"/>
      <c r="T478" s="26"/>
      <c r="U478" s="26"/>
      <c r="V478" s="6" t="s">
        <v>1449</v>
      </c>
    </row>
    <row r="479" spans="1:22">
      <c r="A479" s="20">
        <v>469</v>
      </c>
      <c r="B479" s="6" t="s">
        <v>1254</v>
      </c>
      <c r="C479" s="6" t="s">
        <v>1450</v>
      </c>
      <c r="D479" s="6"/>
      <c r="E479" s="6" t="s">
        <v>40</v>
      </c>
      <c r="F479" s="21">
        <v>1021965</v>
      </c>
      <c r="G479" s="21" t="str">
        <f t="shared" si="20"/>
        <v>1965</v>
      </c>
      <c r="H479" s="22">
        <f t="shared" si="19"/>
        <v>61</v>
      </c>
      <c r="I479" s="23"/>
      <c r="J479" s="20" t="s">
        <v>27</v>
      </c>
      <c r="K479" s="6"/>
      <c r="L479" s="25"/>
      <c r="M479" s="45" t="s">
        <v>1451</v>
      </c>
      <c r="N479" s="6"/>
      <c r="O479" s="6"/>
      <c r="P479" s="6"/>
      <c r="Q479" s="6"/>
      <c r="R479" s="26"/>
      <c r="S479" s="26"/>
      <c r="T479" s="26"/>
      <c r="U479" s="26"/>
      <c r="V479" s="26" t="s">
        <v>1452</v>
      </c>
    </row>
    <row r="480" spans="1:22">
      <c r="A480" s="17">
        <v>470</v>
      </c>
      <c r="B480" s="6" t="s">
        <v>1254</v>
      </c>
      <c r="C480" s="6" t="s">
        <v>1453</v>
      </c>
      <c r="D480" s="6"/>
      <c r="E480" s="6" t="s">
        <v>40</v>
      </c>
      <c r="F480" s="21">
        <v>2021957</v>
      </c>
      <c r="G480" s="21" t="str">
        <f t="shared" si="20"/>
        <v>1957</v>
      </c>
      <c r="H480" s="22">
        <f t="shared" si="19"/>
        <v>69</v>
      </c>
      <c r="I480" s="23"/>
      <c r="J480" s="20" t="s">
        <v>27</v>
      </c>
      <c r="K480" s="6" t="s">
        <v>259</v>
      </c>
      <c r="L480" s="25"/>
      <c r="M480" s="45" t="s">
        <v>1454</v>
      </c>
      <c r="N480" s="6"/>
      <c r="O480" s="6"/>
      <c r="P480" s="6">
        <v>153</v>
      </c>
      <c r="Q480" s="6">
        <v>50</v>
      </c>
      <c r="R480" s="26">
        <v>78</v>
      </c>
      <c r="S480" s="26"/>
      <c r="T480" s="26"/>
      <c r="U480" s="26"/>
    </row>
    <row r="481" spans="1:22">
      <c r="A481" s="20">
        <v>471</v>
      </c>
      <c r="B481" s="6" t="s">
        <v>1254</v>
      </c>
      <c r="C481" s="6" t="s">
        <v>1455</v>
      </c>
      <c r="D481" s="6"/>
      <c r="E481" s="6" t="s">
        <v>40</v>
      </c>
      <c r="F481" s="21"/>
      <c r="G481" s="21" t="str">
        <f t="shared" si="20"/>
        <v/>
      </c>
      <c r="H481" s="22" t="e">
        <f t="shared" si="19"/>
        <v>#VALUE!</v>
      </c>
      <c r="I481" s="23"/>
      <c r="J481" s="20"/>
      <c r="K481" s="6" t="s">
        <v>259</v>
      </c>
      <c r="L481" s="25"/>
      <c r="M481" s="25"/>
      <c r="N481" s="6"/>
      <c r="O481" s="6" t="s">
        <v>570</v>
      </c>
      <c r="P481" s="6">
        <v>150</v>
      </c>
      <c r="Q481" s="6">
        <v>40</v>
      </c>
      <c r="R481" s="26">
        <v>76</v>
      </c>
      <c r="S481" s="26"/>
      <c r="T481" s="26"/>
      <c r="U481" s="26"/>
      <c r="V481" s="6" t="s">
        <v>252</v>
      </c>
    </row>
    <row r="482" spans="1:22">
      <c r="A482" s="17">
        <v>472</v>
      </c>
      <c r="B482" s="6" t="s">
        <v>1254</v>
      </c>
      <c r="C482" s="6" t="s">
        <v>1456</v>
      </c>
      <c r="D482" s="6"/>
      <c r="E482" s="6" t="s">
        <v>2374</v>
      </c>
      <c r="F482" s="21">
        <v>10111971</v>
      </c>
      <c r="G482" s="21" t="str">
        <f t="shared" si="20"/>
        <v>1971</v>
      </c>
      <c r="H482" s="22">
        <f t="shared" si="19"/>
        <v>55</v>
      </c>
      <c r="I482" s="23"/>
      <c r="J482" s="20" t="s">
        <v>27</v>
      </c>
      <c r="K482" s="6" t="s">
        <v>259</v>
      </c>
      <c r="L482" s="25"/>
      <c r="M482" s="45" t="s">
        <v>1457</v>
      </c>
      <c r="N482" s="6"/>
      <c r="O482" s="6" t="s">
        <v>143</v>
      </c>
      <c r="P482" s="6">
        <v>165</v>
      </c>
      <c r="Q482" s="6">
        <v>52</v>
      </c>
      <c r="R482" s="26">
        <v>76</v>
      </c>
      <c r="S482" s="26"/>
      <c r="T482" s="26"/>
      <c r="U482" s="26"/>
      <c r="V482" s="6" t="s">
        <v>252</v>
      </c>
    </row>
    <row r="483" spans="1:22">
      <c r="A483" s="20">
        <v>473</v>
      </c>
      <c r="B483" s="6" t="s">
        <v>1254</v>
      </c>
      <c r="C483" s="6" t="s">
        <v>1458</v>
      </c>
      <c r="D483" s="6"/>
      <c r="E483" s="6" t="s">
        <v>40</v>
      </c>
      <c r="F483" s="21">
        <v>10101952</v>
      </c>
      <c r="G483" s="21" t="str">
        <f t="shared" si="20"/>
        <v>1952</v>
      </c>
      <c r="H483" s="22">
        <f t="shared" si="19"/>
        <v>74</v>
      </c>
      <c r="I483" s="23"/>
      <c r="J483" s="20" t="s">
        <v>27</v>
      </c>
      <c r="K483" s="6" t="s">
        <v>259</v>
      </c>
      <c r="L483" s="25"/>
      <c r="M483" s="45" t="s">
        <v>1459</v>
      </c>
      <c r="N483" s="6"/>
      <c r="O483" s="6" t="s">
        <v>113</v>
      </c>
      <c r="P483" s="6">
        <v>150</v>
      </c>
      <c r="Q483" s="6">
        <v>50</v>
      </c>
      <c r="R483" s="26">
        <v>82</v>
      </c>
      <c r="S483" s="26"/>
      <c r="T483" s="26"/>
      <c r="U483" s="26"/>
      <c r="V483" s="6" t="s">
        <v>252</v>
      </c>
    </row>
    <row r="484" spans="1:22">
      <c r="A484" s="17">
        <v>474</v>
      </c>
      <c r="B484" s="6" t="s">
        <v>1254</v>
      </c>
      <c r="C484" s="6" t="s">
        <v>201</v>
      </c>
      <c r="D484" s="6"/>
      <c r="E484" s="6" t="s">
        <v>40</v>
      </c>
      <c r="F484" s="21">
        <v>9111947</v>
      </c>
      <c r="G484" s="21" t="str">
        <f t="shared" si="20"/>
        <v>1947</v>
      </c>
      <c r="H484" s="22">
        <f t="shared" si="19"/>
        <v>79</v>
      </c>
      <c r="I484" s="23"/>
      <c r="J484" s="20" t="s">
        <v>27</v>
      </c>
      <c r="K484" s="6" t="s">
        <v>259</v>
      </c>
      <c r="L484" s="25"/>
      <c r="M484" s="45" t="s">
        <v>1460</v>
      </c>
      <c r="N484" s="6"/>
      <c r="O484" s="6" t="s">
        <v>146</v>
      </c>
      <c r="P484" s="6">
        <v>162</v>
      </c>
      <c r="Q484" s="6">
        <v>54</v>
      </c>
      <c r="R484" s="26">
        <v>80</v>
      </c>
      <c r="S484" s="26"/>
      <c r="T484" s="26"/>
      <c r="U484" s="6"/>
      <c r="V484" s="26"/>
    </row>
    <row r="485" spans="1:22">
      <c r="A485" s="20">
        <v>475</v>
      </c>
      <c r="B485" s="6" t="s">
        <v>1254</v>
      </c>
      <c r="C485" s="6" t="s">
        <v>1461</v>
      </c>
      <c r="D485" s="6"/>
      <c r="E485" s="6" t="s">
        <v>40</v>
      </c>
      <c r="F485" s="21">
        <v>2011946</v>
      </c>
      <c r="G485" s="21" t="str">
        <f t="shared" si="20"/>
        <v>1946</v>
      </c>
      <c r="H485" s="22">
        <f t="shared" si="19"/>
        <v>80</v>
      </c>
      <c r="I485" s="23" t="s">
        <v>27</v>
      </c>
      <c r="J485" s="20"/>
      <c r="K485" s="6" t="s">
        <v>259</v>
      </c>
      <c r="L485" s="25"/>
      <c r="M485" s="45" t="s">
        <v>1462</v>
      </c>
      <c r="N485" s="6"/>
      <c r="O485" s="6" t="s">
        <v>1463</v>
      </c>
      <c r="P485" s="6">
        <v>164</v>
      </c>
      <c r="Q485" s="6">
        <v>45</v>
      </c>
      <c r="R485" s="26"/>
      <c r="S485" s="26"/>
      <c r="T485" s="26"/>
      <c r="U485" s="6"/>
      <c r="V485" s="26" t="s">
        <v>1464</v>
      </c>
    </row>
    <row r="486" spans="1:22">
      <c r="A486" s="17">
        <v>476</v>
      </c>
      <c r="B486" s="6" t="s">
        <v>1254</v>
      </c>
      <c r="C486" s="6" t="s">
        <v>1465</v>
      </c>
      <c r="D486" s="6"/>
      <c r="E486" s="6" t="s">
        <v>40</v>
      </c>
      <c r="F486" s="21">
        <v>1011946</v>
      </c>
      <c r="G486" s="21" t="str">
        <f t="shared" si="20"/>
        <v>1946</v>
      </c>
      <c r="H486" s="22">
        <f t="shared" si="19"/>
        <v>80</v>
      </c>
      <c r="I486" s="23"/>
      <c r="J486" s="20" t="s">
        <v>27</v>
      </c>
      <c r="K486" s="6" t="s">
        <v>259</v>
      </c>
      <c r="L486" s="25"/>
      <c r="M486" s="45" t="s">
        <v>1466</v>
      </c>
      <c r="N486" s="6"/>
      <c r="O486" s="6" t="s">
        <v>1467</v>
      </c>
      <c r="P486" s="6">
        <v>157</v>
      </c>
      <c r="Q486" s="6">
        <v>46</v>
      </c>
      <c r="R486" s="26"/>
      <c r="S486" s="26"/>
      <c r="T486" s="26"/>
      <c r="U486" s="6"/>
      <c r="V486" s="26" t="s">
        <v>252</v>
      </c>
    </row>
    <row r="487" spans="1:22">
      <c r="A487" s="20">
        <v>477</v>
      </c>
      <c r="B487" s="6" t="s">
        <v>1254</v>
      </c>
      <c r="C487" s="6" t="s">
        <v>1468</v>
      </c>
      <c r="D487" s="6"/>
      <c r="E487" s="6" t="s">
        <v>40</v>
      </c>
      <c r="F487" s="21">
        <v>18091942</v>
      </c>
      <c r="G487" s="21" t="str">
        <f t="shared" si="20"/>
        <v>1942</v>
      </c>
      <c r="H487" s="22">
        <f t="shared" si="19"/>
        <v>84</v>
      </c>
      <c r="I487" s="23"/>
      <c r="J487" s="20" t="s">
        <v>27</v>
      </c>
      <c r="K487" s="6" t="s">
        <v>259</v>
      </c>
      <c r="L487" s="25"/>
      <c r="M487" s="45" t="s">
        <v>1469</v>
      </c>
      <c r="N487" s="6"/>
      <c r="O487" s="6" t="s">
        <v>143</v>
      </c>
      <c r="P487" s="6">
        <v>158</v>
      </c>
      <c r="Q487" s="6">
        <v>70</v>
      </c>
      <c r="R487" s="26"/>
      <c r="S487" s="26"/>
      <c r="T487" s="26"/>
      <c r="U487" s="6"/>
      <c r="V487" s="26" t="s">
        <v>252</v>
      </c>
    </row>
    <row r="488" spans="1:22">
      <c r="A488" s="17">
        <v>478</v>
      </c>
      <c r="B488" s="6" t="s">
        <v>1254</v>
      </c>
      <c r="C488" s="6" t="s">
        <v>1470</v>
      </c>
      <c r="D488" s="6"/>
      <c r="E488" s="6" t="s">
        <v>2374</v>
      </c>
      <c r="F488" s="21">
        <v>16051995</v>
      </c>
      <c r="G488" s="21" t="str">
        <f t="shared" si="20"/>
        <v>1995</v>
      </c>
      <c r="H488" s="22">
        <f t="shared" si="19"/>
        <v>31</v>
      </c>
      <c r="I488" s="23" t="s">
        <v>27</v>
      </c>
      <c r="J488" s="20"/>
      <c r="K488" s="6" t="s">
        <v>259</v>
      </c>
      <c r="L488" s="25"/>
      <c r="M488" s="45" t="s">
        <v>1471</v>
      </c>
      <c r="N488" s="6"/>
      <c r="O488" s="6" t="s">
        <v>570</v>
      </c>
      <c r="P488" s="6">
        <v>165</v>
      </c>
      <c r="Q488" s="6">
        <v>52</v>
      </c>
      <c r="R488" s="26">
        <v>78</v>
      </c>
      <c r="S488" s="26"/>
      <c r="T488" s="26"/>
      <c r="U488" s="6"/>
      <c r="V488" s="26" t="s">
        <v>252</v>
      </c>
    </row>
    <row r="489" spans="1:22">
      <c r="A489" s="20">
        <v>479</v>
      </c>
      <c r="B489" s="6" t="s">
        <v>1254</v>
      </c>
      <c r="C489" s="6" t="s">
        <v>1472</v>
      </c>
      <c r="D489" s="6"/>
      <c r="E489" s="6" t="s">
        <v>40</v>
      </c>
      <c r="F489" s="21">
        <v>1011936</v>
      </c>
      <c r="G489" s="21" t="str">
        <f t="shared" si="20"/>
        <v>1936</v>
      </c>
      <c r="H489" s="22">
        <f t="shared" si="19"/>
        <v>90</v>
      </c>
      <c r="I489" s="23"/>
      <c r="J489" s="20" t="s">
        <v>27</v>
      </c>
      <c r="K489" s="6" t="s">
        <v>259</v>
      </c>
      <c r="L489" s="25"/>
      <c r="M489" s="45" t="s">
        <v>1473</v>
      </c>
      <c r="N489" s="6"/>
      <c r="O489" s="6" t="s">
        <v>1474</v>
      </c>
      <c r="P489" s="6"/>
      <c r="Q489" s="6"/>
      <c r="R489" s="26"/>
      <c r="S489" s="26"/>
      <c r="T489" s="26"/>
      <c r="U489" s="6"/>
      <c r="V489" s="26" t="s">
        <v>252</v>
      </c>
    </row>
    <row r="490" spans="1:22">
      <c r="A490" s="17">
        <v>480</v>
      </c>
      <c r="B490" s="6" t="s">
        <v>1254</v>
      </c>
      <c r="C490" s="6" t="s">
        <v>1475</v>
      </c>
      <c r="D490" s="6"/>
      <c r="E490" s="6" t="s">
        <v>40</v>
      </c>
      <c r="F490" s="21">
        <v>10091935</v>
      </c>
      <c r="G490" s="21" t="str">
        <f t="shared" si="20"/>
        <v>1935</v>
      </c>
      <c r="H490" s="22">
        <f t="shared" si="19"/>
        <v>91</v>
      </c>
      <c r="I490" s="23"/>
      <c r="J490" s="20" t="s">
        <v>27</v>
      </c>
      <c r="K490" s="6" t="s">
        <v>259</v>
      </c>
      <c r="L490" s="25"/>
      <c r="M490" s="45" t="s">
        <v>1476</v>
      </c>
      <c r="N490" s="6"/>
      <c r="O490" s="6" t="s">
        <v>570</v>
      </c>
      <c r="P490" s="6">
        <v>139</v>
      </c>
      <c r="Q490" s="6">
        <v>36</v>
      </c>
      <c r="R490" s="26"/>
      <c r="S490" s="26"/>
      <c r="T490" s="26"/>
      <c r="U490" s="6"/>
      <c r="V490" s="26" t="s">
        <v>252</v>
      </c>
    </row>
    <row r="491" spans="1:22">
      <c r="A491" s="20">
        <v>481</v>
      </c>
      <c r="B491" s="6" t="s">
        <v>1254</v>
      </c>
      <c r="C491" s="6" t="s">
        <v>1477</v>
      </c>
      <c r="D491" s="6"/>
      <c r="E491" s="6" t="s">
        <v>2374</v>
      </c>
      <c r="F491" s="21">
        <v>1011975</v>
      </c>
      <c r="G491" s="21" t="str">
        <f t="shared" si="20"/>
        <v>1975</v>
      </c>
      <c r="H491" s="22">
        <f t="shared" si="19"/>
        <v>51</v>
      </c>
      <c r="I491" s="23" t="s">
        <v>27</v>
      </c>
      <c r="J491" s="20"/>
      <c r="K491" s="6" t="s">
        <v>259</v>
      </c>
      <c r="L491" s="25"/>
      <c r="M491" s="45" t="s">
        <v>1478</v>
      </c>
      <c r="N491" s="6"/>
      <c r="O491" s="6" t="s">
        <v>284</v>
      </c>
      <c r="P491" s="6">
        <v>162</v>
      </c>
      <c r="Q491" s="6">
        <v>52</v>
      </c>
      <c r="R491" s="26"/>
      <c r="S491" s="26"/>
      <c r="T491" s="26"/>
      <c r="U491" s="6"/>
      <c r="V491" s="26" t="s">
        <v>252</v>
      </c>
    </row>
    <row r="492" spans="1:22">
      <c r="A492" s="17">
        <v>482</v>
      </c>
      <c r="B492" s="6" t="s">
        <v>1254</v>
      </c>
      <c r="C492" s="6" t="s">
        <v>1479</v>
      </c>
      <c r="D492" s="6"/>
      <c r="E492" s="6" t="s">
        <v>40</v>
      </c>
      <c r="F492" s="21">
        <v>1111965</v>
      </c>
      <c r="G492" s="21" t="str">
        <f t="shared" si="20"/>
        <v>1965</v>
      </c>
      <c r="H492" s="22">
        <f t="shared" si="19"/>
        <v>61</v>
      </c>
      <c r="I492" s="23" t="s">
        <v>27</v>
      </c>
      <c r="J492" s="20"/>
      <c r="K492" s="6" t="s">
        <v>259</v>
      </c>
      <c r="L492" s="25"/>
      <c r="M492" s="45" t="s">
        <v>1480</v>
      </c>
      <c r="N492" s="6"/>
      <c r="O492" s="6" t="s">
        <v>333</v>
      </c>
      <c r="P492" s="6">
        <v>165</v>
      </c>
      <c r="Q492" s="6">
        <v>57</v>
      </c>
      <c r="R492" s="26">
        <v>79</v>
      </c>
      <c r="S492" s="26"/>
      <c r="T492" s="26"/>
      <c r="U492" s="6"/>
      <c r="V492" s="26" t="s">
        <v>252</v>
      </c>
    </row>
    <row r="493" spans="1:22">
      <c r="A493" s="20">
        <v>483</v>
      </c>
      <c r="B493" s="6" t="s">
        <v>1254</v>
      </c>
      <c r="C493" s="6" t="s">
        <v>1481</v>
      </c>
      <c r="D493" s="6"/>
      <c r="E493" s="6" t="s">
        <v>40</v>
      </c>
      <c r="F493" s="21">
        <v>3091952</v>
      </c>
      <c r="G493" s="21" t="str">
        <f t="shared" si="20"/>
        <v>1952</v>
      </c>
      <c r="H493" s="22">
        <f t="shared" si="19"/>
        <v>74</v>
      </c>
      <c r="I493" s="23"/>
      <c r="J493" s="20" t="s">
        <v>27</v>
      </c>
      <c r="K493" s="6" t="s">
        <v>259</v>
      </c>
      <c r="L493" s="25"/>
      <c r="M493" s="45" t="s">
        <v>1482</v>
      </c>
      <c r="N493" s="6"/>
      <c r="O493" s="6" t="s">
        <v>1463</v>
      </c>
      <c r="P493" s="6">
        <v>150</v>
      </c>
      <c r="Q493" s="6">
        <v>43</v>
      </c>
      <c r="R493" s="26"/>
      <c r="S493" s="26"/>
      <c r="T493" s="26"/>
      <c r="U493" s="6"/>
      <c r="V493" s="26" t="s">
        <v>1483</v>
      </c>
    </row>
    <row r="494" spans="1:22">
      <c r="A494" s="17">
        <v>484</v>
      </c>
      <c r="B494" s="6" t="s">
        <v>1254</v>
      </c>
      <c r="C494" s="6" t="s">
        <v>1484</v>
      </c>
      <c r="D494" s="6"/>
      <c r="E494" s="6" t="s">
        <v>40</v>
      </c>
      <c r="F494" s="21">
        <v>10031945</v>
      </c>
      <c r="G494" s="21" t="str">
        <f t="shared" si="20"/>
        <v>1945</v>
      </c>
      <c r="H494" s="22">
        <f t="shared" si="19"/>
        <v>81</v>
      </c>
      <c r="I494" s="23" t="s">
        <v>27</v>
      </c>
      <c r="J494" s="20"/>
      <c r="K494" s="6" t="s">
        <v>259</v>
      </c>
      <c r="L494" s="25"/>
      <c r="M494" s="45" t="s">
        <v>1485</v>
      </c>
      <c r="N494" s="6"/>
      <c r="O494" s="6" t="s">
        <v>143</v>
      </c>
      <c r="P494" s="6">
        <v>167</v>
      </c>
      <c r="Q494" s="6">
        <v>53</v>
      </c>
      <c r="R494" s="26">
        <v>78</v>
      </c>
      <c r="S494" s="26"/>
      <c r="T494" s="26"/>
      <c r="U494" s="6"/>
      <c r="V494" s="26" t="s">
        <v>1486</v>
      </c>
    </row>
    <row r="495" spans="1:22">
      <c r="A495" s="20">
        <v>485</v>
      </c>
      <c r="B495" s="6" t="s">
        <v>1254</v>
      </c>
      <c r="C495" s="6" t="s">
        <v>1487</v>
      </c>
      <c r="D495" s="6"/>
      <c r="E495" s="6" t="s">
        <v>2374</v>
      </c>
      <c r="F495" s="21">
        <v>27081969</v>
      </c>
      <c r="G495" s="21" t="str">
        <f t="shared" si="20"/>
        <v>1969</v>
      </c>
      <c r="H495" s="22">
        <f t="shared" si="19"/>
        <v>57</v>
      </c>
      <c r="I495" s="23"/>
      <c r="J495" s="20" t="s">
        <v>27</v>
      </c>
      <c r="K495" s="6" t="s">
        <v>259</v>
      </c>
      <c r="L495" s="25"/>
      <c r="M495" s="45" t="s">
        <v>1488</v>
      </c>
      <c r="N495" s="6"/>
      <c r="O495" s="6" t="s">
        <v>113</v>
      </c>
      <c r="P495" s="6">
        <v>160</v>
      </c>
      <c r="Q495" s="6">
        <v>38</v>
      </c>
      <c r="R495" s="26">
        <v>80</v>
      </c>
      <c r="S495" s="26"/>
      <c r="T495" s="26"/>
      <c r="U495" s="6"/>
      <c r="V495" s="26" t="s">
        <v>1489</v>
      </c>
    </row>
    <row r="496" spans="1:22">
      <c r="A496" s="17">
        <v>486</v>
      </c>
      <c r="B496" s="6" t="s">
        <v>1254</v>
      </c>
      <c r="C496" s="6" t="s">
        <v>1490</v>
      </c>
      <c r="D496" s="6"/>
      <c r="E496" s="6" t="s">
        <v>40</v>
      </c>
      <c r="F496" s="21">
        <v>1011954</v>
      </c>
      <c r="G496" s="21" t="str">
        <f t="shared" si="20"/>
        <v>1954</v>
      </c>
      <c r="H496" s="22">
        <f t="shared" si="19"/>
        <v>72</v>
      </c>
      <c r="I496" s="23" t="s">
        <v>27</v>
      </c>
      <c r="J496" s="20"/>
      <c r="K496" s="6" t="s">
        <v>259</v>
      </c>
      <c r="L496" s="25"/>
      <c r="M496" s="25"/>
      <c r="N496" s="6"/>
      <c r="O496" s="6" t="s">
        <v>570</v>
      </c>
      <c r="P496" s="6">
        <v>165</v>
      </c>
      <c r="Q496" s="6">
        <v>58</v>
      </c>
      <c r="R496" s="26">
        <v>78</v>
      </c>
      <c r="S496" s="26"/>
      <c r="T496" s="26"/>
      <c r="U496" s="6"/>
      <c r="V496" s="26" t="s">
        <v>252</v>
      </c>
    </row>
    <row r="497" spans="1:22">
      <c r="A497" s="20">
        <v>487</v>
      </c>
      <c r="B497" s="6" t="s">
        <v>1254</v>
      </c>
      <c r="C497" s="6" t="s">
        <v>1491</v>
      </c>
      <c r="D497" s="6"/>
      <c r="E497" s="6" t="s">
        <v>40</v>
      </c>
      <c r="F497" s="21">
        <v>1011960</v>
      </c>
      <c r="G497" s="21" t="str">
        <f t="shared" si="20"/>
        <v>1960</v>
      </c>
      <c r="H497" s="22">
        <f t="shared" si="19"/>
        <v>66</v>
      </c>
      <c r="I497" s="23"/>
      <c r="J497" s="20" t="s">
        <v>27</v>
      </c>
      <c r="K497" s="6" t="s">
        <v>259</v>
      </c>
      <c r="L497" s="25"/>
      <c r="M497" s="45" t="s">
        <v>1492</v>
      </c>
      <c r="N497" s="6"/>
      <c r="O497" s="6" t="s">
        <v>42</v>
      </c>
      <c r="P497" s="6">
        <v>150</v>
      </c>
      <c r="Q497" s="6">
        <v>50</v>
      </c>
      <c r="R497" s="26">
        <v>80</v>
      </c>
      <c r="S497" s="26"/>
      <c r="T497" s="26"/>
      <c r="U497" s="6"/>
      <c r="V497" s="26" t="s">
        <v>252</v>
      </c>
    </row>
    <row r="498" spans="1:22">
      <c r="A498" s="17">
        <v>488</v>
      </c>
      <c r="B498" s="6" t="s">
        <v>1254</v>
      </c>
      <c r="C498" s="6" t="s">
        <v>638</v>
      </c>
      <c r="D498" s="6"/>
      <c r="E498" s="6" t="s">
        <v>2374</v>
      </c>
      <c r="F498" s="21">
        <v>5101967</v>
      </c>
      <c r="G498" s="21" t="str">
        <f t="shared" si="20"/>
        <v>1967</v>
      </c>
      <c r="H498" s="22">
        <f t="shared" si="19"/>
        <v>59</v>
      </c>
      <c r="I498" s="23"/>
      <c r="J498" s="20" t="s">
        <v>27</v>
      </c>
      <c r="K498" s="6" t="s">
        <v>259</v>
      </c>
      <c r="L498" s="25"/>
      <c r="M498" s="45" t="s">
        <v>1493</v>
      </c>
      <c r="N498" s="6"/>
      <c r="O498" s="6" t="s">
        <v>60</v>
      </c>
      <c r="P498" s="6">
        <v>152</v>
      </c>
      <c r="Q498" s="6">
        <v>53</v>
      </c>
      <c r="R498" s="26">
        <v>80</v>
      </c>
      <c r="S498" s="26"/>
      <c r="T498" s="26"/>
      <c r="U498" s="6"/>
      <c r="V498" s="26"/>
    </row>
    <row r="499" spans="1:22">
      <c r="A499" s="20">
        <v>489</v>
      </c>
      <c r="B499" s="6" t="s">
        <v>1254</v>
      </c>
      <c r="C499" s="6" t="s">
        <v>1494</v>
      </c>
      <c r="D499" s="6"/>
      <c r="E499" s="6" t="s">
        <v>40</v>
      </c>
      <c r="F499" s="21">
        <v>2071952</v>
      </c>
      <c r="G499" s="21" t="str">
        <f t="shared" si="20"/>
        <v>1952</v>
      </c>
      <c r="H499" s="22">
        <f t="shared" si="19"/>
        <v>74</v>
      </c>
      <c r="I499" s="23"/>
      <c r="J499" s="20" t="s">
        <v>27</v>
      </c>
      <c r="K499" s="6" t="s">
        <v>259</v>
      </c>
      <c r="L499" s="25"/>
      <c r="M499" s="45" t="s">
        <v>1495</v>
      </c>
      <c r="N499" s="6"/>
      <c r="O499" s="6" t="s">
        <v>143</v>
      </c>
      <c r="P499" s="6">
        <v>156</v>
      </c>
      <c r="Q499" s="6">
        <v>55</v>
      </c>
      <c r="R499" s="26">
        <v>82</v>
      </c>
      <c r="S499" s="26"/>
      <c r="T499" s="26"/>
      <c r="U499" s="6"/>
      <c r="V499" s="26" t="s">
        <v>252</v>
      </c>
    </row>
    <row r="500" spans="1:22">
      <c r="A500" s="17">
        <v>490</v>
      </c>
      <c r="B500" s="6" t="s">
        <v>1254</v>
      </c>
      <c r="C500" s="6" t="s">
        <v>1496</v>
      </c>
      <c r="D500" s="6"/>
      <c r="E500" s="6" t="s">
        <v>40</v>
      </c>
      <c r="F500" s="21">
        <v>20051942</v>
      </c>
      <c r="G500" s="21" t="str">
        <f t="shared" ref="G500:G531" si="21">RIGHT(F500,4)</f>
        <v>1942</v>
      </c>
      <c r="H500" s="22">
        <f t="shared" si="19"/>
        <v>84</v>
      </c>
      <c r="I500" s="23"/>
      <c r="J500" s="20" t="s">
        <v>27</v>
      </c>
      <c r="K500" s="6" t="s">
        <v>259</v>
      </c>
      <c r="L500" s="25"/>
      <c r="M500" s="45" t="s">
        <v>1497</v>
      </c>
      <c r="N500" s="6"/>
      <c r="O500" s="6" t="s">
        <v>1463</v>
      </c>
      <c r="P500" s="6">
        <v>150</v>
      </c>
      <c r="Q500" s="6">
        <v>42</v>
      </c>
      <c r="R500" s="26">
        <v>120</v>
      </c>
      <c r="S500" s="26"/>
      <c r="T500" s="26"/>
      <c r="U500" s="6"/>
      <c r="V500" s="26" t="s">
        <v>252</v>
      </c>
    </row>
    <row r="501" spans="1:22">
      <c r="A501" s="20">
        <v>491</v>
      </c>
      <c r="B501" s="6" t="s">
        <v>1254</v>
      </c>
      <c r="C501" s="6" t="s">
        <v>1353</v>
      </c>
      <c r="D501" s="6"/>
      <c r="E501" s="6" t="s">
        <v>40</v>
      </c>
      <c r="F501" s="21">
        <v>27081951</v>
      </c>
      <c r="G501" s="21" t="str">
        <f t="shared" si="21"/>
        <v>1951</v>
      </c>
      <c r="H501" s="22">
        <f t="shared" si="19"/>
        <v>75</v>
      </c>
      <c r="I501" s="23" t="s">
        <v>27</v>
      </c>
      <c r="J501" s="20"/>
      <c r="K501" s="6" t="s">
        <v>259</v>
      </c>
      <c r="L501" s="25"/>
      <c r="M501" s="45" t="s">
        <v>1498</v>
      </c>
      <c r="N501" s="6"/>
      <c r="O501" s="6" t="s">
        <v>284</v>
      </c>
      <c r="P501" s="6">
        <v>150</v>
      </c>
      <c r="Q501" s="6">
        <v>50</v>
      </c>
      <c r="R501" s="26">
        <v>78</v>
      </c>
      <c r="S501" s="26"/>
      <c r="T501" s="26"/>
      <c r="U501" s="6"/>
      <c r="V501" s="26" t="s">
        <v>252</v>
      </c>
    </row>
    <row r="502" spans="1:22">
      <c r="A502" s="17">
        <v>492</v>
      </c>
      <c r="B502" s="6" t="s">
        <v>1254</v>
      </c>
      <c r="C502" s="6" t="s">
        <v>1499</v>
      </c>
      <c r="D502" s="6"/>
      <c r="E502" s="6" t="s">
        <v>40</v>
      </c>
      <c r="F502" s="21">
        <v>10101954</v>
      </c>
      <c r="G502" s="21" t="str">
        <f t="shared" si="21"/>
        <v>1954</v>
      </c>
      <c r="H502" s="22">
        <f t="shared" si="19"/>
        <v>72</v>
      </c>
      <c r="I502" s="23" t="s">
        <v>27</v>
      </c>
      <c r="J502" s="20"/>
      <c r="K502" s="6" t="s">
        <v>259</v>
      </c>
      <c r="L502" s="25"/>
      <c r="M502" s="45" t="s">
        <v>1500</v>
      </c>
      <c r="N502" s="6"/>
      <c r="O502" s="6" t="s">
        <v>34</v>
      </c>
      <c r="P502" s="6">
        <v>165</v>
      </c>
      <c r="Q502" s="6">
        <v>52</v>
      </c>
      <c r="R502" s="26">
        <v>75</v>
      </c>
      <c r="S502" s="26"/>
      <c r="T502" s="26"/>
      <c r="U502" s="6"/>
      <c r="V502" s="26" t="s">
        <v>1464</v>
      </c>
    </row>
    <row r="503" spans="1:22">
      <c r="A503" s="20">
        <v>493</v>
      </c>
      <c r="B503" s="6" t="s">
        <v>1254</v>
      </c>
      <c r="C503" s="6" t="s">
        <v>1501</v>
      </c>
      <c r="D503" s="6"/>
      <c r="E503" s="6" t="s">
        <v>40</v>
      </c>
      <c r="F503" s="21">
        <v>10081950</v>
      </c>
      <c r="G503" s="21" t="str">
        <f t="shared" si="21"/>
        <v>1950</v>
      </c>
      <c r="H503" s="22">
        <f t="shared" si="19"/>
        <v>76</v>
      </c>
      <c r="I503" s="23"/>
      <c r="J503" s="20" t="s">
        <v>27</v>
      </c>
      <c r="K503" s="6" t="s">
        <v>259</v>
      </c>
      <c r="L503" s="25"/>
      <c r="M503" s="45" t="s">
        <v>1502</v>
      </c>
      <c r="N503" s="6"/>
      <c r="O503" s="6" t="s">
        <v>143</v>
      </c>
      <c r="P503" s="6">
        <v>156</v>
      </c>
      <c r="Q503" s="6">
        <v>42</v>
      </c>
      <c r="R503" s="26">
        <v>76</v>
      </c>
      <c r="S503" s="26"/>
      <c r="T503" s="26"/>
      <c r="U503" s="6"/>
      <c r="V503" s="26" t="s">
        <v>1503</v>
      </c>
    </row>
    <row r="504" spans="1:22">
      <c r="A504" s="17">
        <v>494</v>
      </c>
      <c r="B504" s="6" t="s">
        <v>1254</v>
      </c>
      <c r="C504" s="6" t="s">
        <v>1504</v>
      </c>
      <c r="D504" s="6"/>
      <c r="E504" s="6" t="s">
        <v>40</v>
      </c>
      <c r="F504" s="21">
        <v>5121944</v>
      </c>
      <c r="G504" s="21" t="str">
        <f t="shared" si="21"/>
        <v>1944</v>
      </c>
      <c r="H504" s="22">
        <f t="shared" si="19"/>
        <v>82</v>
      </c>
      <c r="I504" s="23" t="s">
        <v>27</v>
      </c>
      <c r="J504" s="20"/>
      <c r="K504" s="6" t="s">
        <v>259</v>
      </c>
      <c r="L504" s="25"/>
      <c r="M504" s="45" t="s">
        <v>1505</v>
      </c>
      <c r="N504" s="6"/>
      <c r="O504" s="6" t="s">
        <v>143</v>
      </c>
      <c r="P504" s="6">
        <v>165</v>
      </c>
      <c r="Q504" s="6">
        <v>60</v>
      </c>
      <c r="R504" s="26">
        <v>80</v>
      </c>
      <c r="S504" s="26"/>
      <c r="T504" s="26"/>
      <c r="U504" s="6"/>
      <c r="V504" s="26" t="s">
        <v>252</v>
      </c>
    </row>
    <row r="505" spans="1:22">
      <c r="A505" s="20">
        <v>495</v>
      </c>
      <c r="B505" s="6" t="s">
        <v>1254</v>
      </c>
      <c r="C505" s="4" t="s">
        <v>1506</v>
      </c>
      <c r="E505" s="6" t="s">
        <v>40</v>
      </c>
      <c r="F505" s="21">
        <v>20061963</v>
      </c>
      <c r="G505" s="21" t="str">
        <f t="shared" si="21"/>
        <v>1963</v>
      </c>
      <c r="H505" s="22">
        <f t="shared" si="19"/>
        <v>63</v>
      </c>
      <c r="I505" s="23"/>
      <c r="J505" s="20" t="s">
        <v>27</v>
      </c>
      <c r="K505" s="6" t="s">
        <v>259</v>
      </c>
      <c r="L505" s="25"/>
      <c r="M505" s="25"/>
      <c r="N505" s="6"/>
      <c r="O505" s="6" t="s">
        <v>1463</v>
      </c>
      <c r="P505" s="6">
        <v>145</v>
      </c>
      <c r="Q505" s="6">
        <v>57</v>
      </c>
      <c r="R505" s="26">
        <v>76</v>
      </c>
      <c r="S505" s="26"/>
      <c r="T505" s="26"/>
      <c r="U505" s="6"/>
      <c r="V505" s="26" t="s">
        <v>252</v>
      </c>
    </row>
    <row r="506" spans="1:22">
      <c r="A506" s="17">
        <v>496</v>
      </c>
      <c r="B506" s="6" t="s">
        <v>1254</v>
      </c>
      <c r="C506" s="6" t="s">
        <v>1507</v>
      </c>
      <c r="D506" s="6"/>
      <c r="E506" s="6" t="s">
        <v>40</v>
      </c>
      <c r="F506" s="21">
        <v>15121963</v>
      </c>
      <c r="G506" s="21" t="str">
        <f t="shared" si="21"/>
        <v>1963</v>
      </c>
      <c r="H506" s="22">
        <f t="shared" si="19"/>
        <v>63</v>
      </c>
      <c r="I506" s="23"/>
      <c r="J506" s="20" t="s">
        <v>27</v>
      </c>
      <c r="K506" s="6" t="s">
        <v>259</v>
      </c>
      <c r="L506" s="25"/>
      <c r="M506" s="45" t="s">
        <v>1508</v>
      </c>
      <c r="N506" s="6"/>
      <c r="O506" s="6" t="s">
        <v>143</v>
      </c>
      <c r="P506" s="6">
        <v>155</v>
      </c>
      <c r="Q506" s="6">
        <v>44</v>
      </c>
      <c r="R506" s="26">
        <v>70</v>
      </c>
      <c r="S506" s="26"/>
      <c r="T506" s="26"/>
      <c r="U506" s="6"/>
      <c r="V506" s="26" t="s">
        <v>252</v>
      </c>
    </row>
    <row r="507" spans="1:22">
      <c r="A507" s="20">
        <v>497</v>
      </c>
      <c r="B507" s="6" t="s">
        <v>1254</v>
      </c>
      <c r="C507" s="6" t="s">
        <v>1509</v>
      </c>
      <c r="D507" s="6"/>
      <c r="E507" s="6" t="s">
        <v>40</v>
      </c>
      <c r="F507" s="21">
        <v>27051964</v>
      </c>
      <c r="G507" s="21" t="str">
        <f t="shared" si="21"/>
        <v>1964</v>
      </c>
      <c r="H507" s="22">
        <f t="shared" si="19"/>
        <v>62</v>
      </c>
      <c r="I507" s="23"/>
      <c r="J507" s="20" t="s">
        <v>27</v>
      </c>
      <c r="K507" s="6" t="s">
        <v>259</v>
      </c>
      <c r="L507" s="25"/>
      <c r="M507" s="45" t="s">
        <v>1510</v>
      </c>
      <c r="N507" s="6"/>
      <c r="O507" s="6" t="s">
        <v>87</v>
      </c>
      <c r="P507" s="6">
        <v>155</v>
      </c>
      <c r="Q507" s="6">
        <v>54</v>
      </c>
      <c r="R507" s="26">
        <v>78</v>
      </c>
      <c r="S507" s="26"/>
      <c r="T507" s="26"/>
      <c r="U507" s="6"/>
      <c r="V507" s="26"/>
    </row>
    <row r="508" spans="1:22">
      <c r="A508" s="17">
        <v>498</v>
      </c>
      <c r="B508" s="6" t="s">
        <v>1254</v>
      </c>
      <c r="C508" s="6" t="s">
        <v>1511</v>
      </c>
      <c r="D508" s="6"/>
      <c r="E508" s="6" t="s">
        <v>40</v>
      </c>
      <c r="F508" s="21">
        <v>1011955</v>
      </c>
      <c r="G508" s="21" t="str">
        <f t="shared" si="21"/>
        <v>1955</v>
      </c>
      <c r="H508" s="22">
        <f t="shared" si="19"/>
        <v>71</v>
      </c>
      <c r="I508" s="23"/>
      <c r="J508" s="20" t="s">
        <v>27</v>
      </c>
      <c r="K508" s="6" t="s">
        <v>259</v>
      </c>
      <c r="L508" s="25"/>
      <c r="M508" s="45" t="s">
        <v>1512</v>
      </c>
      <c r="N508" s="6"/>
      <c r="O508" s="6" t="s">
        <v>570</v>
      </c>
      <c r="P508" s="6">
        <v>162</v>
      </c>
      <c r="Q508" s="6">
        <v>48</v>
      </c>
      <c r="R508" s="26">
        <v>78</v>
      </c>
      <c r="S508" s="26"/>
      <c r="T508" s="26"/>
      <c r="U508" s="6"/>
      <c r="V508" s="26" t="s">
        <v>252</v>
      </c>
    </row>
    <row r="509" spans="1:22">
      <c r="A509" s="20">
        <v>499</v>
      </c>
      <c r="B509" s="6" t="s">
        <v>1254</v>
      </c>
      <c r="C509" s="6" t="s">
        <v>1513</v>
      </c>
      <c r="D509" s="6"/>
      <c r="E509" s="6" t="s">
        <v>40</v>
      </c>
      <c r="F509" s="21">
        <v>1011964</v>
      </c>
      <c r="G509" s="21" t="str">
        <f t="shared" si="21"/>
        <v>1964</v>
      </c>
      <c r="H509" s="22">
        <f t="shared" si="19"/>
        <v>62</v>
      </c>
      <c r="I509" s="23"/>
      <c r="J509" s="20" t="s">
        <v>27</v>
      </c>
      <c r="K509" s="6" t="s">
        <v>259</v>
      </c>
      <c r="L509" s="25"/>
      <c r="M509" s="45" t="s">
        <v>1514</v>
      </c>
      <c r="N509" s="6"/>
      <c r="O509" s="6" t="s">
        <v>87</v>
      </c>
      <c r="P509" s="6">
        <v>155</v>
      </c>
      <c r="Q509" s="6">
        <v>47</v>
      </c>
      <c r="R509" s="26"/>
      <c r="S509" s="26"/>
      <c r="T509" s="26"/>
      <c r="U509" s="6"/>
      <c r="V509" s="26" t="s">
        <v>1515</v>
      </c>
    </row>
    <row r="510" spans="1:22">
      <c r="A510" s="17">
        <v>500</v>
      </c>
      <c r="B510" s="6" t="s">
        <v>1254</v>
      </c>
      <c r="C510" s="6" t="s">
        <v>1516</v>
      </c>
      <c r="D510" s="6"/>
      <c r="E510" s="6" t="s">
        <v>40</v>
      </c>
      <c r="F510" s="21">
        <v>1051957</v>
      </c>
      <c r="G510" s="21" t="str">
        <f t="shared" si="21"/>
        <v>1957</v>
      </c>
      <c r="H510" s="22">
        <f t="shared" si="19"/>
        <v>69</v>
      </c>
      <c r="I510" s="23"/>
      <c r="J510" s="20" t="s">
        <v>27</v>
      </c>
      <c r="K510" s="6" t="s">
        <v>259</v>
      </c>
      <c r="L510" s="25"/>
      <c r="M510" s="45" t="s">
        <v>1517</v>
      </c>
      <c r="N510" s="6"/>
      <c r="O510" s="6" t="s">
        <v>34</v>
      </c>
      <c r="P510" s="6">
        <v>155</v>
      </c>
      <c r="Q510" s="6">
        <v>47</v>
      </c>
      <c r="R510" s="26">
        <v>78</v>
      </c>
      <c r="S510" s="26"/>
      <c r="T510" s="26"/>
      <c r="U510" s="6"/>
      <c r="V510" s="26" t="s">
        <v>252</v>
      </c>
    </row>
    <row r="511" spans="1:22">
      <c r="A511" s="20">
        <v>501</v>
      </c>
      <c r="B511" s="6" t="s">
        <v>1254</v>
      </c>
      <c r="C511" s="6" t="s">
        <v>1518</v>
      </c>
      <c r="D511" s="6"/>
      <c r="E511" s="6" t="s">
        <v>40</v>
      </c>
      <c r="F511" s="21">
        <v>1011956</v>
      </c>
      <c r="G511" s="21" t="str">
        <f t="shared" si="21"/>
        <v>1956</v>
      </c>
      <c r="H511" s="22">
        <f t="shared" si="19"/>
        <v>70</v>
      </c>
      <c r="I511" s="23" t="s">
        <v>27</v>
      </c>
      <c r="J511" s="20"/>
      <c r="K511" s="6" t="s">
        <v>259</v>
      </c>
      <c r="L511" s="25"/>
      <c r="M511" s="45" t="s">
        <v>1519</v>
      </c>
      <c r="N511" s="6"/>
      <c r="O511" s="6" t="s">
        <v>113</v>
      </c>
      <c r="P511" s="6">
        <v>165</v>
      </c>
      <c r="Q511" s="6">
        <v>57</v>
      </c>
      <c r="R511" s="26">
        <v>78</v>
      </c>
      <c r="S511" s="26"/>
      <c r="T511" s="26"/>
      <c r="U511" s="6"/>
      <c r="V511" s="26" t="s">
        <v>1464</v>
      </c>
    </row>
    <row r="512" spans="1:22">
      <c r="A512" s="17">
        <v>502</v>
      </c>
      <c r="B512" s="6" t="s">
        <v>1254</v>
      </c>
      <c r="C512" s="6" t="s">
        <v>1520</v>
      </c>
      <c r="D512" s="6"/>
      <c r="E512" s="6" t="s">
        <v>40</v>
      </c>
      <c r="F512" s="21">
        <v>10111956</v>
      </c>
      <c r="G512" s="21" t="str">
        <f t="shared" si="21"/>
        <v>1956</v>
      </c>
      <c r="H512" s="22">
        <f t="shared" si="19"/>
        <v>70</v>
      </c>
      <c r="I512" s="23"/>
      <c r="J512" s="20" t="s">
        <v>27</v>
      </c>
      <c r="K512" s="6" t="s">
        <v>259</v>
      </c>
      <c r="L512" s="25"/>
      <c r="M512" s="45" t="s">
        <v>1521</v>
      </c>
      <c r="N512" s="6"/>
      <c r="O512" s="6" t="s">
        <v>1467</v>
      </c>
      <c r="P512" s="6">
        <v>155</v>
      </c>
      <c r="Q512" s="6">
        <v>48</v>
      </c>
      <c r="R512" s="26"/>
      <c r="S512" s="26"/>
      <c r="T512" s="26"/>
      <c r="U512" s="6"/>
      <c r="V512" s="26" t="s">
        <v>1464</v>
      </c>
    </row>
    <row r="513" spans="1:22">
      <c r="A513" s="20">
        <v>503</v>
      </c>
      <c r="B513" s="6" t="s">
        <v>1254</v>
      </c>
      <c r="C513" s="6" t="s">
        <v>1522</v>
      </c>
      <c r="D513" s="6"/>
      <c r="E513" s="6" t="s">
        <v>40</v>
      </c>
      <c r="F513" s="21">
        <v>1011963</v>
      </c>
      <c r="G513" s="21" t="str">
        <f t="shared" si="21"/>
        <v>1963</v>
      </c>
      <c r="H513" s="22">
        <f t="shared" si="19"/>
        <v>63</v>
      </c>
      <c r="I513" s="23"/>
      <c r="J513" s="20" t="s">
        <v>27</v>
      </c>
      <c r="K513" s="6" t="s">
        <v>259</v>
      </c>
      <c r="L513" s="25"/>
      <c r="M513" s="45" t="s">
        <v>1523</v>
      </c>
      <c r="N513" s="6"/>
      <c r="O513" s="6" t="s">
        <v>1146</v>
      </c>
      <c r="P513" s="6">
        <v>154</v>
      </c>
      <c r="Q513" s="6">
        <v>54</v>
      </c>
      <c r="R513" s="26">
        <v>78</v>
      </c>
      <c r="S513" s="26"/>
      <c r="T513" s="26"/>
      <c r="U513" s="6"/>
      <c r="V513" s="26" t="s">
        <v>1464</v>
      </c>
    </row>
    <row r="514" spans="1:22">
      <c r="A514" s="17">
        <v>504</v>
      </c>
      <c r="B514" s="6" t="s">
        <v>1254</v>
      </c>
      <c r="C514" s="6" t="s">
        <v>1524</v>
      </c>
      <c r="D514" s="6"/>
      <c r="E514" s="6" t="s">
        <v>2374</v>
      </c>
      <c r="F514" s="21">
        <v>14061996</v>
      </c>
      <c r="G514" s="21" t="str">
        <f t="shared" si="21"/>
        <v>1996</v>
      </c>
      <c r="H514" s="22">
        <f t="shared" si="19"/>
        <v>30</v>
      </c>
      <c r="I514" s="23" t="s">
        <v>27</v>
      </c>
      <c r="J514" s="20"/>
      <c r="K514" s="6" t="s">
        <v>259</v>
      </c>
      <c r="L514" s="25"/>
      <c r="M514" s="45" t="s">
        <v>1525</v>
      </c>
      <c r="N514" s="6"/>
      <c r="O514" s="6" t="s">
        <v>87</v>
      </c>
      <c r="P514" s="6">
        <v>156</v>
      </c>
      <c r="Q514" s="6">
        <v>56</v>
      </c>
      <c r="R514" s="26">
        <v>76</v>
      </c>
      <c r="S514" s="26"/>
      <c r="T514" s="26"/>
      <c r="U514" s="6"/>
      <c r="V514" s="26"/>
    </row>
    <row r="515" spans="1:22">
      <c r="A515" s="20">
        <v>505</v>
      </c>
      <c r="B515" s="6" t="s">
        <v>1254</v>
      </c>
      <c r="C515" s="6" t="s">
        <v>1526</v>
      </c>
      <c r="D515" s="6"/>
      <c r="E515" s="6" t="s">
        <v>40</v>
      </c>
      <c r="F515" s="21">
        <v>16031965</v>
      </c>
      <c r="G515" s="21" t="str">
        <f t="shared" si="21"/>
        <v>1965</v>
      </c>
      <c r="H515" s="22">
        <f t="shared" si="19"/>
        <v>61</v>
      </c>
      <c r="I515" s="23" t="s">
        <v>27</v>
      </c>
      <c r="J515" s="20"/>
      <c r="K515" s="6" t="s">
        <v>259</v>
      </c>
      <c r="L515" s="25"/>
      <c r="M515" s="45" t="s">
        <v>1527</v>
      </c>
      <c r="N515" s="6"/>
      <c r="O515" s="6" t="s">
        <v>34</v>
      </c>
      <c r="P515" s="6">
        <v>170</v>
      </c>
      <c r="Q515" s="6">
        <v>60</v>
      </c>
      <c r="R515" s="26">
        <v>78</v>
      </c>
      <c r="S515" s="26"/>
      <c r="T515" s="26"/>
      <c r="U515" s="6"/>
      <c r="V515" s="26" t="s">
        <v>1464</v>
      </c>
    </row>
    <row r="516" spans="1:22">
      <c r="A516" s="17">
        <v>506</v>
      </c>
      <c r="B516" s="6" t="s">
        <v>1254</v>
      </c>
      <c r="C516" s="6" t="s">
        <v>1528</v>
      </c>
      <c r="D516" s="6"/>
      <c r="E516" s="6" t="s">
        <v>40</v>
      </c>
      <c r="F516" s="21">
        <v>5071938</v>
      </c>
      <c r="G516" s="21" t="str">
        <f t="shared" si="21"/>
        <v>1938</v>
      </c>
      <c r="H516" s="22">
        <f t="shared" si="19"/>
        <v>88</v>
      </c>
      <c r="I516" s="23" t="s">
        <v>27</v>
      </c>
      <c r="J516" s="20"/>
      <c r="K516" s="6" t="s">
        <v>259</v>
      </c>
      <c r="L516" s="25"/>
      <c r="M516" s="45" t="s">
        <v>1529</v>
      </c>
      <c r="N516" s="6"/>
      <c r="O516" s="6" t="s">
        <v>284</v>
      </c>
      <c r="P516" s="6">
        <v>158</v>
      </c>
      <c r="Q516" s="6">
        <v>55</v>
      </c>
      <c r="R516" s="26">
        <v>75</v>
      </c>
      <c r="S516" s="26"/>
      <c r="T516" s="26"/>
      <c r="U516" s="6"/>
      <c r="V516" s="26" t="s">
        <v>1464</v>
      </c>
    </row>
    <row r="517" spans="1:22">
      <c r="A517" s="20">
        <v>507</v>
      </c>
      <c r="B517" s="6" t="s">
        <v>1254</v>
      </c>
      <c r="C517" s="6" t="s">
        <v>1530</v>
      </c>
      <c r="D517" s="6"/>
      <c r="E517" s="6" t="s">
        <v>2374</v>
      </c>
      <c r="F517" s="21">
        <v>23031973</v>
      </c>
      <c r="G517" s="21" t="str">
        <f t="shared" si="21"/>
        <v>1973</v>
      </c>
      <c r="H517" s="22">
        <f t="shared" si="19"/>
        <v>53</v>
      </c>
      <c r="I517" s="23" t="s">
        <v>27</v>
      </c>
      <c r="J517" s="20"/>
      <c r="K517" s="6" t="s">
        <v>259</v>
      </c>
      <c r="L517" s="25"/>
      <c r="M517" s="45" t="s">
        <v>1531</v>
      </c>
      <c r="N517" s="6"/>
      <c r="O517" s="6" t="s">
        <v>784</v>
      </c>
      <c r="P517" s="6">
        <v>175</v>
      </c>
      <c r="Q517" s="6">
        <v>55</v>
      </c>
      <c r="R517" s="26">
        <v>80</v>
      </c>
      <c r="S517" s="26"/>
      <c r="T517" s="26"/>
      <c r="U517" s="6"/>
      <c r="V517" s="26"/>
    </row>
    <row r="518" spans="1:22">
      <c r="A518" s="17">
        <v>508</v>
      </c>
      <c r="B518" s="6" t="s">
        <v>1254</v>
      </c>
      <c r="C518" s="6" t="s">
        <v>1532</v>
      </c>
      <c r="D518" s="6"/>
      <c r="E518" s="6" t="s">
        <v>40</v>
      </c>
      <c r="F518" s="21">
        <v>2031968</v>
      </c>
      <c r="G518" s="21" t="str">
        <f t="shared" si="21"/>
        <v>1968</v>
      </c>
      <c r="H518" s="22">
        <f t="shared" si="19"/>
        <v>58</v>
      </c>
      <c r="I518" s="23"/>
      <c r="J518" s="20" t="s">
        <v>27</v>
      </c>
      <c r="K518" s="6" t="s">
        <v>259</v>
      </c>
      <c r="L518" s="25"/>
      <c r="M518" s="45" t="s">
        <v>1533</v>
      </c>
      <c r="N518" s="6"/>
      <c r="O518" s="6" t="s">
        <v>34</v>
      </c>
      <c r="P518" s="6"/>
      <c r="Q518" s="6"/>
      <c r="R518" s="26"/>
      <c r="S518" s="26"/>
      <c r="T518" s="26"/>
      <c r="U518" s="6"/>
      <c r="V518" s="26"/>
    </row>
    <row r="519" spans="1:22">
      <c r="A519" s="20">
        <v>509</v>
      </c>
      <c r="B519" s="6" t="s">
        <v>1254</v>
      </c>
      <c r="C519" s="6" t="s">
        <v>1534</v>
      </c>
      <c r="D519" s="6"/>
      <c r="E519" s="6" t="s">
        <v>2374</v>
      </c>
      <c r="F519" s="21">
        <v>6061969</v>
      </c>
      <c r="G519" s="21" t="str">
        <f t="shared" si="21"/>
        <v>1969</v>
      </c>
      <c r="H519" s="22">
        <f t="shared" si="19"/>
        <v>57</v>
      </c>
      <c r="I519" s="23" t="s">
        <v>27</v>
      </c>
      <c r="J519" s="20"/>
      <c r="K519" s="6" t="s">
        <v>259</v>
      </c>
      <c r="L519" s="25"/>
      <c r="M519" s="45" t="s">
        <v>1535</v>
      </c>
      <c r="N519" s="6"/>
      <c r="O519" s="6" t="s">
        <v>34</v>
      </c>
      <c r="P519" s="6">
        <v>167</v>
      </c>
      <c r="Q519" s="6">
        <v>74</v>
      </c>
      <c r="R519" s="26">
        <v>80</v>
      </c>
      <c r="S519" s="26"/>
      <c r="T519" s="26"/>
      <c r="U519" s="6"/>
      <c r="V519" s="26"/>
    </row>
    <row r="520" spans="1:22">
      <c r="A520" s="17">
        <v>510</v>
      </c>
      <c r="B520" s="6" t="s">
        <v>1254</v>
      </c>
      <c r="C520" s="6" t="s">
        <v>1536</v>
      </c>
      <c r="D520" s="6"/>
      <c r="E520" s="6" t="s">
        <v>40</v>
      </c>
      <c r="F520" s="21">
        <v>2101964</v>
      </c>
      <c r="G520" s="21" t="str">
        <f t="shared" si="21"/>
        <v>1964</v>
      </c>
      <c r="H520" s="22">
        <f t="shared" si="19"/>
        <v>62</v>
      </c>
      <c r="I520" s="23"/>
      <c r="J520" s="20" t="s">
        <v>27</v>
      </c>
      <c r="K520" s="6" t="s">
        <v>259</v>
      </c>
      <c r="M520" s="45" t="s">
        <v>1537</v>
      </c>
      <c r="N520" s="6"/>
      <c r="O520" s="6" t="s">
        <v>536</v>
      </c>
      <c r="P520" s="6">
        <v>150</v>
      </c>
      <c r="Q520" s="6">
        <v>42</v>
      </c>
      <c r="R520" s="26">
        <v>82</v>
      </c>
      <c r="S520" s="26"/>
      <c r="T520" s="26"/>
      <c r="U520" s="6"/>
      <c r="V520" s="26" t="s">
        <v>1464</v>
      </c>
    </row>
    <row r="521" spans="1:22">
      <c r="A521" s="20">
        <v>511</v>
      </c>
      <c r="B521" s="6" t="s">
        <v>1254</v>
      </c>
      <c r="C521" s="6" t="s">
        <v>1538</v>
      </c>
      <c r="D521" s="6"/>
      <c r="E521" s="6" t="s">
        <v>2374</v>
      </c>
      <c r="F521" s="21">
        <v>1011967</v>
      </c>
      <c r="G521" s="21" t="str">
        <f t="shared" si="21"/>
        <v>1967</v>
      </c>
      <c r="H521" s="22">
        <f t="shared" si="19"/>
        <v>59</v>
      </c>
      <c r="I521" s="23" t="s">
        <v>27</v>
      </c>
      <c r="J521" s="20"/>
      <c r="K521" s="6" t="s">
        <v>259</v>
      </c>
      <c r="L521" s="25"/>
      <c r="M521" s="45" t="s">
        <v>1539</v>
      </c>
      <c r="N521" s="6"/>
      <c r="O521" s="6" t="s">
        <v>34</v>
      </c>
      <c r="P521" s="6">
        <v>167</v>
      </c>
      <c r="Q521" s="6">
        <v>50</v>
      </c>
      <c r="R521" s="26">
        <v>80</v>
      </c>
      <c r="S521" s="26"/>
      <c r="T521" s="26"/>
      <c r="U521" s="6"/>
      <c r="V521" s="26" t="s">
        <v>1540</v>
      </c>
    </row>
    <row r="522" spans="1:22">
      <c r="A522" s="17">
        <v>512</v>
      </c>
      <c r="B522" s="6" t="s">
        <v>1254</v>
      </c>
      <c r="C522" s="6" t="s">
        <v>1541</v>
      </c>
      <c r="D522" s="6"/>
      <c r="E522" s="6" t="s">
        <v>40</v>
      </c>
      <c r="F522" s="21">
        <v>5101952</v>
      </c>
      <c r="G522" s="21" t="str">
        <f t="shared" si="21"/>
        <v>1952</v>
      </c>
      <c r="H522" s="22">
        <f t="shared" si="19"/>
        <v>74</v>
      </c>
      <c r="I522" s="23"/>
      <c r="J522" s="20" t="s">
        <v>27</v>
      </c>
      <c r="K522" s="6" t="s">
        <v>259</v>
      </c>
      <c r="L522" s="25"/>
      <c r="M522" s="45" t="s">
        <v>1542</v>
      </c>
      <c r="N522" s="6"/>
      <c r="O522" s="6" t="s">
        <v>284</v>
      </c>
      <c r="P522" s="6">
        <v>158</v>
      </c>
      <c r="Q522" s="6">
        <v>60</v>
      </c>
      <c r="R522" s="26">
        <v>70</v>
      </c>
      <c r="S522" s="26"/>
      <c r="T522" s="26"/>
      <c r="U522" s="6"/>
      <c r="V522" s="26" t="s">
        <v>252</v>
      </c>
    </row>
    <row r="523" spans="1:22">
      <c r="A523" s="20">
        <v>513</v>
      </c>
      <c r="B523" s="6" t="s">
        <v>1254</v>
      </c>
      <c r="C523" s="6" t="s">
        <v>1543</v>
      </c>
      <c r="D523" s="6"/>
      <c r="E523" s="6" t="s">
        <v>2374</v>
      </c>
      <c r="F523" s="21">
        <v>14031991</v>
      </c>
      <c r="G523" s="21" t="str">
        <f t="shared" si="21"/>
        <v>1991</v>
      </c>
      <c r="H523" s="22">
        <f t="shared" ref="H523:H586" si="22">2026-G523</f>
        <v>35</v>
      </c>
      <c r="I523" s="23" t="s">
        <v>27</v>
      </c>
      <c r="J523" s="20"/>
      <c r="K523" s="6" t="s">
        <v>259</v>
      </c>
      <c r="L523" s="25"/>
      <c r="M523" s="45" t="s">
        <v>1544</v>
      </c>
      <c r="N523" s="6"/>
      <c r="O523" s="6" t="s">
        <v>288</v>
      </c>
      <c r="P523" s="6">
        <v>169</v>
      </c>
      <c r="Q523" s="6">
        <v>75</v>
      </c>
      <c r="R523" s="26">
        <v>80</v>
      </c>
      <c r="S523" s="26"/>
      <c r="T523" s="26"/>
      <c r="U523" s="6"/>
      <c r="V523" s="26" t="s">
        <v>252</v>
      </c>
    </row>
    <row r="524" spans="1:22">
      <c r="A524" s="17">
        <v>514</v>
      </c>
      <c r="B524" s="6" t="s">
        <v>1254</v>
      </c>
      <c r="C524" s="6" t="s">
        <v>1545</v>
      </c>
      <c r="D524" s="6"/>
      <c r="E524" s="6" t="s">
        <v>40</v>
      </c>
      <c r="F524" s="21">
        <v>13031958</v>
      </c>
      <c r="G524" s="21" t="str">
        <f t="shared" si="21"/>
        <v>1958</v>
      </c>
      <c r="H524" s="22">
        <f t="shared" si="22"/>
        <v>68</v>
      </c>
      <c r="I524" s="23"/>
      <c r="J524" s="20" t="s">
        <v>27</v>
      </c>
      <c r="K524" s="6" t="s">
        <v>259</v>
      </c>
      <c r="L524" s="25"/>
      <c r="M524" s="45" t="s">
        <v>1546</v>
      </c>
      <c r="N524" s="6"/>
      <c r="O524" s="6" t="s">
        <v>87</v>
      </c>
      <c r="P524" s="6">
        <v>160</v>
      </c>
      <c r="Q524" s="6">
        <v>58</v>
      </c>
      <c r="R524" s="26">
        <v>78</v>
      </c>
      <c r="S524" s="26"/>
      <c r="T524" s="26"/>
      <c r="U524" s="6"/>
      <c r="V524" s="26" t="s">
        <v>1464</v>
      </c>
    </row>
    <row r="525" spans="1:22">
      <c r="A525" s="20">
        <v>515</v>
      </c>
      <c r="B525" s="6" t="s">
        <v>1254</v>
      </c>
      <c r="C525" s="6" t="s">
        <v>1547</v>
      </c>
      <c r="D525" s="6"/>
      <c r="E525" s="6" t="s">
        <v>40</v>
      </c>
      <c r="F525" s="21">
        <v>12031960</v>
      </c>
      <c r="G525" s="21" t="str">
        <f t="shared" si="21"/>
        <v>1960</v>
      </c>
      <c r="H525" s="22">
        <f t="shared" si="22"/>
        <v>66</v>
      </c>
      <c r="I525" s="23" t="s">
        <v>27</v>
      </c>
      <c r="J525" s="20"/>
      <c r="K525" s="6" t="s">
        <v>259</v>
      </c>
      <c r="L525" s="25"/>
      <c r="M525" s="45" t="s">
        <v>1548</v>
      </c>
      <c r="N525" s="6"/>
      <c r="O525" s="6" t="s">
        <v>570</v>
      </c>
      <c r="P525" s="6">
        <v>170</v>
      </c>
      <c r="Q525" s="6">
        <v>65</v>
      </c>
      <c r="R525" s="26"/>
      <c r="S525" s="26"/>
      <c r="T525" s="26"/>
      <c r="U525" s="6"/>
      <c r="V525" s="26" t="s">
        <v>252</v>
      </c>
    </row>
    <row r="526" spans="1:22">
      <c r="A526" s="17">
        <v>516</v>
      </c>
      <c r="B526" s="6" t="s">
        <v>1254</v>
      </c>
      <c r="C526" s="6" t="s">
        <v>1549</v>
      </c>
      <c r="D526" s="6"/>
      <c r="E526" s="6" t="s">
        <v>40</v>
      </c>
      <c r="F526" s="21">
        <v>1011966</v>
      </c>
      <c r="G526" s="21" t="str">
        <f t="shared" si="21"/>
        <v>1966</v>
      </c>
      <c r="H526" s="22">
        <f t="shared" si="22"/>
        <v>60</v>
      </c>
      <c r="I526" s="23" t="s">
        <v>27</v>
      </c>
      <c r="J526" s="20"/>
      <c r="K526" s="6" t="s">
        <v>259</v>
      </c>
      <c r="L526" s="25"/>
      <c r="M526" s="45" t="s">
        <v>1550</v>
      </c>
      <c r="N526" s="6"/>
      <c r="O526" s="6" t="s">
        <v>149</v>
      </c>
      <c r="P526" s="6">
        <v>155</v>
      </c>
      <c r="Q526" s="6">
        <v>55</v>
      </c>
      <c r="R526" s="26">
        <v>74</v>
      </c>
      <c r="S526" s="26"/>
      <c r="T526" s="26"/>
      <c r="U526" s="6"/>
      <c r="V526" s="26"/>
    </row>
    <row r="527" spans="1:22">
      <c r="A527" s="20">
        <v>517</v>
      </c>
      <c r="B527" s="6" t="s">
        <v>1254</v>
      </c>
      <c r="C527" s="6" t="s">
        <v>1551</v>
      </c>
      <c r="D527" s="6"/>
      <c r="E527" s="6" t="s">
        <v>40</v>
      </c>
      <c r="F527" s="21">
        <v>2101955</v>
      </c>
      <c r="G527" s="21" t="str">
        <f t="shared" si="21"/>
        <v>1955</v>
      </c>
      <c r="H527" s="22">
        <f t="shared" si="22"/>
        <v>71</v>
      </c>
      <c r="I527" s="23"/>
      <c r="J527" s="20" t="s">
        <v>27</v>
      </c>
      <c r="K527" s="6" t="s">
        <v>259</v>
      </c>
      <c r="L527" s="25"/>
      <c r="M527" s="45" t="s">
        <v>1552</v>
      </c>
      <c r="N527" s="6"/>
      <c r="O527" s="6" t="s">
        <v>60</v>
      </c>
      <c r="P527" s="6">
        <v>150</v>
      </c>
      <c r="Q527" s="6">
        <v>61</v>
      </c>
      <c r="R527" s="26">
        <v>85</v>
      </c>
      <c r="S527" s="26"/>
      <c r="T527" s="26"/>
      <c r="U527" s="6"/>
      <c r="V527" s="26"/>
    </row>
    <row r="528" spans="1:22">
      <c r="A528" s="17">
        <v>518</v>
      </c>
      <c r="B528" s="6" t="s">
        <v>1254</v>
      </c>
      <c r="C528" s="6" t="s">
        <v>1553</v>
      </c>
      <c r="D528" s="6"/>
      <c r="E528" s="6" t="s">
        <v>40</v>
      </c>
      <c r="F528" s="21">
        <v>10121964</v>
      </c>
      <c r="G528" s="21" t="str">
        <f t="shared" si="21"/>
        <v>1964</v>
      </c>
      <c r="H528" s="22">
        <f t="shared" si="22"/>
        <v>62</v>
      </c>
      <c r="I528" s="23" t="s">
        <v>27</v>
      </c>
      <c r="J528" s="20"/>
      <c r="K528" s="6" t="s">
        <v>259</v>
      </c>
      <c r="L528" s="25"/>
      <c r="M528" s="45" t="s">
        <v>1554</v>
      </c>
      <c r="N528" s="6"/>
      <c r="O528" s="6" t="s">
        <v>34</v>
      </c>
      <c r="P528" s="6">
        <v>162</v>
      </c>
      <c r="Q528" s="6">
        <v>58</v>
      </c>
      <c r="R528" s="26">
        <v>80</v>
      </c>
      <c r="S528" s="26"/>
      <c r="T528" s="26"/>
      <c r="U528" s="6"/>
      <c r="V528" s="26"/>
    </row>
    <row r="529" spans="1:22">
      <c r="A529" s="20">
        <v>519</v>
      </c>
      <c r="B529" s="6" t="s">
        <v>1254</v>
      </c>
      <c r="C529" s="6" t="s">
        <v>1555</v>
      </c>
      <c r="D529" s="6"/>
      <c r="E529" s="6" t="s">
        <v>40</v>
      </c>
      <c r="F529" s="21">
        <v>8021963</v>
      </c>
      <c r="G529" s="21" t="str">
        <f t="shared" si="21"/>
        <v>1963</v>
      </c>
      <c r="H529" s="22">
        <f t="shared" si="22"/>
        <v>63</v>
      </c>
      <c r="I529" s="23"/>
      <c r="J529" s="20" t="s">
        <v>27</v>
      </c>
      <c r="K529" s="6" t="s">
        <v>259</v>
      </c>
      <c r="L529" s="25"/>
      <c r="M529" s="45" t="s">
        <v>1556</v>
      </c>
      <c r="N529" s="6"/>
      <c r="O529" s="6" t="s">
        <v>113</v>
      </c>
      <c r="P529" s="6">
        <v>155</v>
      </c>
      <c r="Q529" s="6">
        <v>53</v>
      </c>
      <c r="R529" s="26">
        <v>78</v>
      </c>
      <c r="S529" s="26"/>
      <c r="T529" s="26"/>
      <c r="U529" s="6"/>
      <c r="V529" s="26" t="s">
        <v>1557</v>
      </c>
    </row>
    <row r="530" spans="1:22">
      <c r="A530" s="17">
        <v>520</v>
      </c>
      <c r="B530" s="6" t="s">
        <v>1254</v>
      </c>
      <c r="C530" s="6" t="s">
        <v>1558</v>
      </c>
      <c r="D530" s="6"/>
      <c r="E530" s="6" t="s">
        <v>40</v>
      </c>
      <c r="F530" s="21">
        <v>1011966</v>
      </c>
      <c r="G530" s="21" t="str">
        <f t="shared" si="21"/>
        <v>1966</v>
      </c>
      <c r="H530" s="22">
        <f t="shared" si="22"/>
        <v>60</v>
      </c>
      <c r="I530" s="23"/>
      <c r="J530" s="20" t="s">
        <v>27</v>
      </c>
      <c r="K530" s="6" t="s">
        <v>259</v>
      </c>
      <c r="L530" s="25"/>
      <c r="M530" s="45" t="s">
        <v>1559</v>
      </c>
      <c r="N530" s="6"/>
      <c r="O530" s="6" t="s">
        <v>34</v>
      </c>
      <c r="P530" s="6">
        <v>164</v>
      </c>
      <c r="Q530" s="6">
        <v>70</v>
      </c>
      <c r="R530" s="26"/>
      <c r="S530" s="26"/>
      <c r="T530" s="26"/>
      <c r="U530" s="6"/>
      <c r="V530" s="26"/>
    </row>
    <row r="531" spans="1:22">
      <c r="A531" s="20">
        <v>521</v>
      </c>
      <c r="B531" s="6" t="s">
        <v>1254</v>
      </c>
      <c r="C531" s="6" t="s">
        <v>1560</v>
      </c>
      <c r="D531" s="6"/>
      <c r="E531" s="6" t="s">
        <v>40</v>
      </c>
      <c r="F531" s="21">
        <v>1011950</v>
      </c>
      <c r="G531" s="21" t="str">
        <f t="shared" si="21"/>
        <v>1950</v>
      </c>
      <c r="H531" s="22">
        <f t="shared" si="22"/>
        <v>76</v>
      </c>
      <c r="I531" s="23"/>
      <c r="J531" s="20" t="s">
        <v>27</v>
      </c>
      <c r="K531" s="6" t="s">
        <v>259</v>
      </c>
      <c r="L531" s="25"/>
      <c r="M531" s="45" t="s">
        <v>1561</v>
      </c>
      <c r="N531" s="6"/>
      <c r="O531" s="6" t="s">
        <v>143</v>
      </c>
      <c r="P531" s="6"/>
      <c r="Q531" s="6"/>
      <c r="R531" s="26"/>
      <c r="S531" s="26"/>
      <c r="T531" s="26"/>
      <c r="U531" s="6"/>
      <c r="V531" s="26"/>
    </row>
    <row r="532" spans="1:22">
      <c r="A532" s="17">
        <v>522</v>
      </c>
      <c r="B532" s="6" t="s">
        <v>1254</v>
      </c>
      <c r="C532" s="6" t="s">
        <v>1562</v>
      </c>
      <c r="D532" s="6"/>
      <c r="E532" s="6" t="s">
        <v>40</v>
      </c>
      <c r="F532" s="21">
        <v>4041960</v>
      </c>
      <c r="G532" s="21" t="str">
        <f t="shared" ref="G532" si="23">RIGHT(F532,4)</f>
        <v>1960</v>
      </c>
      <c r="H532" s="22">
        <f t="shared" si="22"/>
        <v>66</v>
      </c>
      <c r="I532" s="23" t="s">
        <v>27</v>
      </c>
      <c r="J532" s="20"/>
      <c r="K532" s="6" t="s">
        <v>259</v>
      </c>
      <c r="L532" s="25"/>
      <c r="M532" s="45" t="s">
        <v>1563</v>
      </c>
      <c r="N532" s="6"/>
      <c r="O532" s="6" t="s">
        <v>143</v>
      </c>
      <c r="P532" s="6">
        <v>165</v>
      </c>
      <c r="Q532" s="6">
        <v>53</v>
      </c>
      <c r="R532" s="26">
        <v>78</v>
      </c>
      <c r="S532" s="26"/>
      <c r="T532" s="26"/>
      <c r="U532" s="6"/>
      <c r="V532" s="26" t="s">
        <v>252</v>
      </c>
    </row>
    <row r="533" spans="1:22">
      <c r="A533" s="20">
        <v>523</v>
      </c>
      <c r="B533" s="6" t="s">
        <v>1254</v>
      </c>
      <c r="C533" s="6" t="s">
        <v>1564</v>
      </c>
      <c r="D533" s="6"/>
      <c r="E533" s="6" t="s">
        <v>40</v>
      </c>
      <c r="F533" s="33">
        <v>17746</v>
      </c>
      <c r="G533" s="21">
        <f t="shared" ref="G533:G552" si="24">YEAR(F533)</f>
        <v>1948</v>
      </c>
      <c r="H533" s="22">
        <f t="shared" si="22"/>
        <v>78</v>
      </c>
      <c r="I533" s="23" t="s">
        <v>27</v>
      </c>
      <c r="J533" s="20"/>
      <c r="K533" s="6" t="s">
        <v>1256</v>
      </c>
      <c r="L533" s="25"/>
      <c r="M533" s="25" t="s">
        <v>1565</v>
      </c>
      <c r="N533" s="6"/>
      <c r="O533" s="6" t="s">
        <v>570</v>
      </c>
      <c r="P533" s="6">
        <v>165</v>
      </c>
      <c r="Q533" s="6">
        <v>73</v>
      </c>
      <c r="R533" s="26">
        <v>86</v>
      </c>
      <c r="S533" s="26"/>
      <c r="T533" s="26"/>
      <c r="U533" s="6"/>
      <c r="V533" s="26" t="s">
        <v>1566</v>
      </c>
    </row>
    <row r="534" spans="1:22">
      <c r="A534" s="17">
        <v>524</v>
      </c>
      <c r="B534" s="6" t="s">
        <v>1254</v>
      </c>
      <c r="C534" s="6" t="s">
        <v>1567</v>
      </c>
      <c r="D534" s="6"/>
      <c r="E534" s="6" t="s">
        <v>40</v>
      </c>
      <c r="F534" s="33">
        <v>18994</v>
      </c>
      <c r="G534" s="21">
        <f t="shared" si="24"/>
        <v>1952</v>
      </c>
      <c r="H534" s="22">
        <f t="shared" si="22"/>
        <v>74</v>
      </c>
      <c r="I534" s="23" t="s">
        <v>27</v>
      </c>
      <c r="J534" s="20"/>
      <c r="K534" s="6" t="s">
        <v>1256</v>
      </c>
      <c r="L534" s="25"/>
      <c r="M534" s="25" t="s">
        <v>1568</v>
      </c>
      <c r="N534" s="6"/>
      <c r="O534" s="6" t="s">
        <v>941</v>
      </c>
      <c r="P534" s="6">
        <v>170</v>
      </c>
      <c r="Q534" s="6">
        <v>58</v>
      </c>
      <c r="R534" s="26">
        <v>85</v>
      </c>
      <c r="S534" s="26"/>
      <c r="T534" s="26"/>
      <c r="U534" s="6"/>
      <c r="V534" s="26" t="s">
        <v>1569</v>
      </c>
    </row>
    <row r="535" spans="1:22">
      <c r="A535" s="20">
        <v>525</v>
      </c>
      <c r="B535" s="6" t="s">
        <v>1254</v>
      </c>
      <c r="C535" s="6" t="s">
        <v>1570</v>
      </c>
      <c r="D535" s="6"/>
      <c r="E535" s="6" t="s">
        <v>40</v>
      </c>
      <c r="F535" s="33">
        <v>24381</v>
      </c>
      <c r="G535" s="21">
        <f t="shared" si="24"/>
        <v>1966</v>
      </c>
      <c r="H535" s="22">
        <f t="shared" si="22"/>
        <v>60</v>
      </c>
      <c r="I535" s="23" t="s">
        <v>27</v>
      </c>
      <c r="J535" s="20"/>
      <c r="K535" s="6" t="s">
        <v>1571</v>
      </c>
      <c r="L535" s="25"/>
      <c r="M535" s="25" t="s">
        <v>1572</v>
      </c>
      <c r="N535" s="6"/>
      <c r="O535" s="6" t="s">
        <v>87</v>
      </c>
      <c r="P535" s="6">
        <v>175</v>
      </c>
      <c r="Q535" s="6">
        <v>84</v>
      </c>
      <c r="R535" s="26">
        <v>100</v>
      </c>
      <c r="S535" s="26"/>
      <c r="T535" s="26"/>
      <c r="U535" s="6"/>
      <c r="V535" s="26" t="s">
        <v>1573</v>
      </c>
    </row>
    <row r="536" spans="1:22">
      <c r="A536" s="17">
        <v>526</v>
      </c>
      <c r="B536" s="6" t="s">
        <v>1254</v>
      </c>
      <c r="C536" s="6" t="s">
        <v>1574</v>
      </c>
      <c r="D536" s="6"/>
      <c r="E536" s="6" t="s">
        <v>2374</v>
      </c>
      <c r="F536" s="33">
        <v>26916</v>
      </c>
      <c r="G536" s="21">
        <f t="shared" si="24"/>
        <v>1973</v>
      </c>
      <c r="H536" s="22">
        <f t="shared" si="22"/>
        <v>53</v>
      </c>
      <c r="I536" s="23" t="s">
        <v>27</v>
      </c>
      <c r="J536" s="20"/>
      <c r="K536" s="6" t="s">
        <v>1256</v>
      </c>
      <c r="L536" s="25"/>
      <c r="M536" s="25" t="s">
        <v>1575</v>
      </c>
      <c r="N536" s="6"/>
      <c r="O536" s="6" t="s">
        <v>1576</v>
      </c>
      <c r="P536" s="6">
        <v>164</v>
      </c>
      <c r="Q536" s="6">
        <v>53</v>
      </c>
      <c r="R536" s="26">
        <v>77</v>
      </c>
      <c r="S536" s="26"/>
      <c r="T536" s="26"/>
      <c r="U536" s="6"/>
      <c r="V536" s="26" t="s">
        <v>1577</v>
      </c>
    </row>
    <row r="537" spans="1:22">
      <c r="A537" s="20">
        <v>527</v>
      </c>
      <c r="B537" s="6" t="s">
        <v>1254</v>
      </c>
      <c r="C537" s="6" t="s">
        <v>1578</v>
      </c>
      <c r="D537" s="6"/>
      <c r="E537" s="6" t="s">
        <v>40</v>
      </c>
      <c r="F537" s="33">
        <v>16051</v>
      </c>
      <c r="G537" s="21">
        <f t="shared" si="24"/>
        <v>1943</v>
      </c>
      <c r="H537" s="22">
        <f t="shared" si="22"/>
        <v>83</v>
      </c>
      <c r="I537" s="23" t="s">
        <v>27</v>
      </c>
      <c r="J537" s="20"/>
      <c r="K537" s="6" t="s">
        <v>1256</v>
      </c>
      <c r="L537" s="25"/>
      <c r="M537" s="25" t="s">
        <v>1579</v>
      </c>
      <c r="N537" s="6"/>
      <c r="O537" s="6" t="s">
        <v>930</v>
      </c>
      <c r="P537" s="6">
        <v>160</v>
      </c>
      <c r="Q537" s="6">
        <v>50</v>
      </c>
      <c r="R537" s="26">
        <v>88</v>
      </c>
      <c r="S537" s="26"/>
      <c r="T537" s="26"/>
      <c r="U537" s="6"/>
      <c r="V537" s="26" t="s">
        <v>1580</v>
      </c>
    </row>
    <row r="538" spans="1:22">
      <c r="A538" s="17">
        <v>528</v>
      </c>
      <c r="B538" s="6" t="s">
        <v>1254</v>
      </c>
      <c r="C538" s="6" t="s">
        <v>1581</v>
      </c>
      <c r="D538" s="6"/>
      <c r="E538" s="6" t="s">
        <v>40</v>
      </c>
      <c r="F538" s="33">
        <v>22799</v>
      </c>
      <c r="G538" s="21">
        <f t="shared" si="24"/>
        <v>1962</v>
      </c>
      <c r="H538" s="22">
        <f t="shared" si="22"/>
        <v>64</v>
      </c>
      <c r="I538" s="23" t="s">
        <v>27</v>
      </c>
      <c r="J538" s="20"/>
      <c r="K538" s="6" t="s">
        <v>1256</v>
      </c>
      <c r="L538" s="25"/>
      <c r="M538" s="25" t="s">
        <v>1582</v>
      </c>
      <c r="N538" s="6"/>
      <c r="O538" s="6" t="s">
        <v>263</v>
      </c>
      <c r="P538" s="6">
        <v>159</v>
      </c>
      <c r="Q538" s="6">
        <v>53</v>
      </c>
      <c r="R538" s="26">
        <v>61</v>
      </c>
      <c r="S538" s="26"/>
      <c r="T538" s="26"/>
      <c r="U538" s="6"/>
      <c r="V538" s="26" t="s">
        <v>1583</v>
      </c>
    </row>
    <row r="539" spans="1:22">
      <c r="A539" s="20">
        <v>529</v>
      </c>
      <c r="B539" s="6" t="s">
        <v>1254</v>
      </c>
      <c r="C539" s="6" t="s">
        <v>1584</v>
      </c>
      <c r="D539" s="6"/>
      <c r="E539" s="6" t="s">
        <v>40</v>
      </c>
      <c r="F539" s="33">
        <v>24108</v>
      </c>
      <c r="G539" s="21">
        <f t="shared" si="24"/>
        <v>1966</v>
      </c>
      <c r="H539" s="22">
        <f t="shared" si="22"/>
        <v>60</v>
      </c>
      <c r="I539" s="23"/>
      <c r="J539" s="20" t="s">
        <v>27</v>
      </c>
      <c r="K539" s="6" t="s">
        <v>1256</v>
      </c>
      <c r="L539" s="25"/>
      <c r="M539" s="25" t="s">
        <v>1585</v>
      </c>
      <c r="N539" s="6"/>
      <c r="O539" s="6" t="s">
        <v>149</v>
      </c>
      <c r="P539" s="6">
        <v>153</v>
      </c>
      <c r="Q539" s="6">
        <v>60</v>
      </c>
      <c r="R539" s="26">
        <v>70</v>
      </c>
      <c r="S539" s="26"/>
      <c r="T539" s="26"/>
      <c r="U539" s="6"/>
      <c r="V539" s="26" t="s">
        <v>1586</v>
      </c>
    </row>
    <row r="540" spans="1:22">
      <c r="A540" s="17">
        <v>530</v>
      </c>
      <c r="B540" s="6" t="s">
        <v>1254</v>
      </c>
      <c r="C540" s="6" t="s">
        <v>1587</v>
      </c>
      <c r="D540" s="6"/>
      <c r="E540" s="6" t="s">
        <v>40</v>
      </c>
      <c r="F540" s="33">
        <v>19734</v>
      </c>
      <c r="G540" s="21">
        <f t="shared" si="24"/>
        <v>1954</v>
      </c>
      <c r="H540" s="22">
        <f t="shared" si="22"/>
        <v>72</v>
      </c>
      <c r="I540" s="23"/>
      <c r="J540" s="20" t="s">
        <v>27</v>
      </c>
      <c r="K540" s="6" t="s">
        <v>1256</v>
      </c>
      <c r="L540" s="25"/>
      <c r="M540" s="25" t="s">
        <v>1588</v>
      </c>
      <c r="N540" s="6"/>
      <c r="O540" s="6" t="s">
        <v>1048</v>
      </c>
      <c r="P540" s="6">
        <v>153</v>
      </c>
      <c r="Q540" s="6">
        <v>44</v>
      </c>
      <c r="R540" s="26">
        <v>68</v>
      </c>
      <c r="S540" s="26"/>
      <c r="T540" s="26"/>
      <c r="U540" s="6"/>
      <c r="V540" s="26" t="s">
        <v>1589</v>
      </c>
    </row>
    <row r="541" spans="1:22" s="60" customFormat="1">
      <c r="A541" s="52">
        <v>531</v>
      </c>
      <c r="B541" s="53" t="s">
        <v>1254</v>
      </c>
      <c r="C541" s="53" t="s">
        <v>1590</v>
      </c>
      <c r="D541" s="53"/>
      <c r="E541" s="53"/>
      <c r="F541" s="54"/>
      <c r="G541" s="55">
        <f t="shared" si="24"/>
        <v>1900</v>
      </c>
      <c r="H541" s="56">
        <f t="shared" si="22"/>
        <v>126</v>
      </c>
      <c r="I541" s="57"/>
      <c r="J541" s="52" t="s">
        <v>27</v>
      </c>
      <c r="K541" s="53" t="s">
        <v>1256</v>
      </c>
      <c r="L541" s="58"/>
      <c r="M541" s="58" t="s">
        <v>1591</v>
      </c>
      <c r="N541" s="53"/>
      <c r="O541" s="53"/>
      <c r="P541" s="53"/>
      <c r="Q541" s="53"/>
      <c r="R541" s="59"/>
      <c r="S541" s="59"/>
      <c r="T541" s="59"/>
      <c r="U541" s="53"/>
      <c r="V541" s="59" t="s">
        <v>1592</v>
      </c>
    </row>
    <row r="542" spans="1:22">
      <c r="A542" s="17">
        <v>532</v>
      </c>
      <c r="B542" s="6" t="s">
        <v>1254</v>
      </c>
      <c r="C542" s="6" t="s">
        <v>1593</v>
      </c>
      <c r="D542" s="6"/>
      <c r="E542" s="6" t="s">
        <v>40</v>
      </c>
      <c r="F542" s="33">
        <v>23472</v>
      </c>
      <c r="G542" s="21">
        <f t="shared" si="24"/>
        <v>1964</v>
      </c>
      <c r="H542" s="22">
        <f t="shared" si="22"/>
        <v>62</v>
      </c>
      <c r="I542" s="23"/>
      <c r="J542" s="20" t="s">
        <v>27</v>
      </c>
      <c r="K542" s="6" t="s">
        <v>1256</v>
      </c>
      <c r="L542" s="25"/>
      <c r="M542" s="25" t="s">
        <v>1594</v>
      </c>
      <c r="N542" s="6"/>
      <c r="O542" s="6" t="s">
        <v>1109</v>
      </c>
      <c r="P542" s="6">
        <v>153</v>
      </c>
      <c r="Q542" s="6">
        <v>48</v>
      </c>
      <c r="R542" s="26">
        <v>84</v>
      </c>
      <c r="S542" s="26"/>
      <c r="T542" s="26"/>
      <c r="U542" s="6"/>
      <c r="V542" s="26" t="s">
        <v>1595</v>
      </c>
    </row>
    <row r="543" spans="1:22">
      <c r="A543" s="20">
        <v>533</v>
      </c>
      <c r="B543" s="6" t="s">
        <v>1254</v>
      </c>
      <c r="C543" s="6" t="s">
        <v>1596</v>
      </c>
      <c r="D543" s="6"/>
      <c r="E543" s="61" t="s">
        <v>2374</v>
      </c>
      <c r="F543" s="33">
        <v>24781</v>
      </c>
      <c r="G543" s="21">
        <f t="shared" si="24"/>
        <v>1967</v>
      </c>
      <c r="H543" s="22">
        <f t="shared" si="22"/>
        <v>59</v>
      </c>
      <c r="I543" s="23" t="s">
        <v>27</v>
      </c>
      <c r="J543" s="20"/>
      <c r="K543" s="6" t="s">
        <v>1256</v>
      </c>
      <c r="L543" s="25"/>
      <c r="M543" s="25" t="s">
        <v>1597</v>
      </c>
      <c r="N543" s="6"/>
      <c r="O543" s="6" t="s">
        <v>1109</v>
      </c>
      <c r="P543" s="6">
        <v>156</v>
      </c>
      <c r="Q543" s="6">
        <v>47</v>
      </c>
      <c r="R543" s="26">
        <v>90</v>
      </c>
      <c r="S543" s="26"/>
      <c r="T543" s="26"/>
      <c r="U543" s="6"/>
      <c r="V543" s="26" t="s">
        <v>1598</v>
      </c>
    </row>
    <row r="544" spans="1:22">
      <c r="A544" s="17">
        <v>534</v>
      </c>
      <c r="B544" s="6" t="s">
        <v>1254</v>
      </c>
      <c r="C544" s="6" t="s">
        <v>88</v>
      </c>
      <c r="D544" s="6"/>
      <c r="E544" s="61" t="s">
        <v>2374</v>
      </c>
      <c r="F544" s="33">
        <v>31695</v>
      </c>
      <c r="G544" s="21">
        <f t="shared" si="24"/>
        <v>1986</v>
      </c>
      <c r="H544" s="22">
        <f t="shared" si="22"/>
        <v>40</v>
      </c>
      <c r="I544" s="23"/>
      <c r="J544" s="20" t="s">
        <v>27</v>
      </c>
      <c r="K544" s="6" t="s">
        <v>1256</v>
      </c>
      <c r="L544" s="25"/>
      <c r="M544" s="25" t="s">
        <v>1599</v>
      </c>
      <c r="N544" s="6"/>
      <c r="O544" s="6" t="s">
        <v>1600</v>
      </c>
      <c r="P544" s="6">
        <v>150</v>
      </c>
      <c r="Q544" s="6">
        <v>43</v>
      </c>
      <c r="R544" s="26">
        <v>52</v>
      </c>
      <c r="S544" s="26"/>
      <c r="T544" s="26"/>
      <c r="U544" s="6"/>
      <c r="V544" s="26" t="s">
        <v>1601</v>
      </c>
    </row>
    <row r="545" spans="1:22">
      <c r="A545" s="20">
        <v>535</v>
      </c>
      <c r="B545" s="6" t="s">
        <v>1254</v>
      </c>
      <c r="C545" s="6" t="s">
        <v>1602</v>
      </c>
      <c r="D545" s="6"/>
      <c r="E545" s="6" t="s">
        <v>40</v>
      </c>
      <c r="F545" s="33">
        <v>16715</v>
      </c>
      <c r="G545" s="21">
        <f t="shared" si="24"/>
        <v>1945</v>
      </c>
      <c r="H545" s="22">
        <f t="shared" si="22"/>
        <v>81</v>
      </c>
      <c r="I545" s="23"/>
      <c r="J545" s="20" t="s">
        <v>27</v>
      </c>
      <c r="K545" s="6" t="s">
        <v>1256</v>
      </c>
      <c r="L545" s="25"/>
      <c r="M545" s="25" t="s">
        <v>1603</v>
      </c>
      <c r="N545" s="6"/>
      <c r="O545" s="6" t="s">
        <v>263</v>
      </c>
      <c r="P545" s="6">
        <v>160</v>
      </c>
      <c r="Q545" s="6">
        <v>46</v>
      </c>
      <c r="R545" s="26">
        <v>69</v>
      </c>
      <c r="S545" s="26"/>
      <c r="T545" s="26"/>
      <c r="U545" s="6"/>
      <c r="V545" s="26" t="s">
        <v>1604</v>
      </c>
    </row>
    <row r="546" spans="1:22">
      <c r="A546" s="17">
        <v>536</v>
      </c>
      <c r="B546" s="6" t="s">
        <v>1254</v>
      </c>
      <c r="C546" s="6" t="s">
        <v>1605</v>
      </c>
      <c r="D546" s="6"/>
      <c r="E546" s="6" t="s">
        <v>40</v>
      </c>
      <c r="F546" s="33" t="s">
        <v>1606</v>
      </c>
      <c r="G546" s="21" t="e">
        <f t="shared" si="24"/>
        <v>#VALUE!</v>
      </c>
      <c r="H546" s="22" t="e">
        <f t="shared" si="22"/>
        <v>#VALUE!</v>
      </c>
      <c r="I546" s="23"/>
      <c r="J546" s="20" t="s">
        <v>27</v>
      </c>
      <c r="K546" s="6" t="s">
        <v>1256</v>
      </c>
      <c r="L546" s="25"/>
      <c r="M546" s="25" t="s">
        <v>1607</v>
      </c>
      <c r="N546" s="6"/>
      <c r="O546" s="6" t="s">
        <v>1608</v>
      </c>
      <c r="P546" s="6">
        <v>149</v>
      </c>
      <c r="Q546" s="6">
        <v>40</v>
      </c>
      <c r="R546" s="26">
        <v>71</v>
      </c>
      <c r="S546" s="26"/>
      <c r="T546" s="26"/>
      <c r="U546" s="6"/>
      <c r="V546" s="26" t="s">
        <v>1609</v>
      </c>
    </row>
    <row r="547" spans="1:22">
      <c r="A547" s="20">
        <v>537</v>
      </c>
      <c r="B547" s="6" t="s">
        <v>1254</v>
      </c>
      <c r="C547" s="6" t="s">
        <v>354</v>
      </c>
      <c r="D547" s="6"/>
      <c r="E547" s="6" t="s">
        <v>261</v>
      </c>
      <c r="F547" s="33">
        <v>25973</v>
      </c>
      <c r="G547" s="21">
        <f t="shared" si="24"/>
        <v>1971</v>
      </c>
      <c r="H547" s="22">
        <f t="shared" si="22"/>
        <v>55</v>
      </c>
      <c r="I547" s="23"/>
      <c r="J547" s="20" t="s">
        <v>27</v>
      </c>
      <c r="K547" s="6" t="s">
        <v>1256</v>
      </c>
      <c r="L547" s="25"/>
      <c r="M547" s="25" t="s">
        <v>1610</v>
      </c>
      <c r="N547" s="6"/>
      <c r="O547" s="6" t="s">
        <v>113</v>
      </c>
      <c r="P547" s="6">
        <v>150</v>
      </c>
      <c r="Q547" s="6">
        <v>48</v>
      </c>
      <c r="R547" s="26">
        <v>75</v>
      </c>
      <c r="S547" s="26"/>
      <c r="T547" s="26"/>
      <c r="U547" s="6"/>
      <c r="V547" s="26" t="s">
        <v>1611</v>
      </c>
    </row>
    <row r="548" spans="1:22">
      <c r="A548" s="17">
        <v>538</v>
      </c>
      <c r="B548" s="6" t="s">
        <v>1254</v>
      </c>
      <c r="C548" s="6" t="s">
        <v>957</v>
      </c>
      <c r="D548" s="6"/>
      <c r="E548" s="6" t="s">
        <v>40</v>
      </c>
      <c r="F548" s="33">
        <v>17721</v>
      </c>
      <c r="G548" s="21">
        <f t="shared" si="24"/>
        <v>1948</v>
      </c>
      <c r="H548" s="22">
        <f t="shared" si="22"/>
        <v>78</v>
      </c>
      <c r="I548" s="23"/>
      <c r="J548" s="20" t="s">
        <v>27</v>
      </c>
      <c r="K548" s="6" t="s">
        <v>1256</v>
      </c>
      <c r="L548" s="25"/>
      <c r="M548" s="25" t="s">
        <v>1612</v>
      </c>
      <c r="N548" s="6"/>
      <c r="O548" s="6" t="s">
        <v>149</v>
      </c>
      <c r="P548" s="6">
        <v>155</v>
      </c>
      <c r="Q548" s="6">
        <v>43</v>
      </c>
      <c r="R548" s="26">
        <v>73</v>
      </c>
      <c r="S548" s="26"/>
      <c r="T548" s="26"/>
      <c r="U548" s="6"/>
      <c r="V548" s="26" t="s">
        <v>1613</v>
      </c>
    </row>
    <row r="549" spans="1:22">
      <c r="A549" s="20">
        <v>539</v>
      </c>
      <c r="B549" s="6" t="s">
        <v>1254</v>
      </c>
      <c r="C549" s="6" t="s">
        <v>1614</v>
      </c>
      <c r="D549" s="6"/>
      <c r="E549" s="61" t="s">
        <v>2374</v>
      </c>
      <c r="F549" s="33" t="s">
        <v>1615</v>
      </c>
      <c r="G549" s="21" t="e">
        <f t="shared" si="24"/>
        <v>#VALUE!</v>
      </c>
      <c r="H549" s="22" t="e">
        <f t="shared" si="22"/>
        <v>#VALUE!</v>
      </c>
      <c r="I549" s="23" t="s">
        <v>27</v>
      </c>
      <c r="J549" s="20"/>
      <c r="K549" s="6" t="s">
        <v>1256</v>
      </c>
      <c r="L549" s="25"/>
      <c r="M549" s="25" t="s">
        <v>1616</v>
      </c>
      <c r="N549" s="6"/>
      <c r="O549" s="6" t="s">
        <v>87</v>
      </c>
      <c r="P549" s="6">
        <v>163</v>
      </c>
      <c r="Q549" s="6">
        <v>55</v>
      </c>
      <c r="R549" s="26">
        <v>75</v>
      </c>
      <c r="S549" s="26"/>
      <c r="T549" s="26"/>
      <c r="U549" s="6"/>
      <c r="V549" s="26" t="s">
        <v>1617</v>
      </c>
    </row>
    <row r="550" spans="1:22">
      <c r="A550" s="17">
        <v>540</v>
      </c>
      <c r="B550" s="6" t="s">
        <v>1254</v>
      </c>
      <c r="C550" s="6" t="s">
        <v>1618</v>
      </c>
      <c r="D550" s="6"/>
      <c r="E550" s="6" t="s">
        <v>40</v>
      </c>
      <c r="F550" s="33">
        <v>16530</v>
      </c>
      <c r="G550" s="21">
        <f t="shared" si="24"/>
        <v>1945</v>
      </c>
      <c r="H550" s="22">
        <f t="shared" si="22"/>
        <v>81</v>
      </c>
      <c r="I550" s="23" t="s">
        <v>27</v>
      </c>
      <c r="J550" s="20"/>
      <c r="K550" s="6" t="s">
        <v>1256</v>
      </c>
      <c r="L550" s="25"/>
      <c r="M550" s="25" t="s">
        <v>1619</v>
      </c>
      <c r="N550" s="6"/>
      <c r="O550" s="6" t="s">
        <v>60</v>
      </c>
      <c r="P550" s="6">
        <v>160</v>
      </c>
      <c r="Q550" s="6">
        <v>50</v>
      </c>
      <c r="R550" s="26">
        <v>60</v>
      </c>
      <c r="S550" s="26"/>
      <c r="T550" s="26"/>
      <c r="U550" s="6"/>
      <c r="V550" s="26" t="s">
        <v>1620</v>
      </c>
    </row>
    <row r="551" spans="1:22">
      <c r="A551" s="17">
        <v>541</v>
      </c>
      <c r="B551" s="6" t="s">
        <v>1254</v>
      </c>
      <c r="C551" s="6" t="s">
        <v>1621</v>
      </c>
      <c r="D551" s="6"/>
      <c r="E551" s="6" t="s">
        <v>40</v>
      </c>
      <c r="F551" s="33">
        <v>16567</v>
      </c>
      <c r="G551" s="21">
        <f t="shared" si="24"/>
        <v>1945</v>
      </c>
      <c r="H551" s="22">
        <f t="shared" si="22"/>
        <v>81</v>
      </c>
      <c r="I551" s="23" t="s">
        <v>27</v>
      </c>
      <c r="J551" s="20"/>
      <c r="K551" s="6" t="s">
        <v>1256</v>
      </c>
      <c r="L551" s="25"/>
      <c r="M551" s="25" t="s">
        <v>1622</v>
      </c>
      <c r="N551" s="6"/>
      <c r="O551" s="6" t="s">
        <v>280</v>
      </c>
      <c r="P551" s="6">
        <v>175</v>
      </c>
      <c r="Q551" s="6">
        <v>62</v>
      </c>
      <c r="R551" s="26">
        <v>78</v>
      </c>
      <c r="S551" s="26"/>
      <c r="T551" s="26"/>
      <c r="U551" s="6"/>
      <c r="V551" s="26" t="s">
        <v>1623</v>
      </c>
    </row>
    <row r="552" spans="1:22">
      <c r="A552" s="20">
        <v>542</v>
      </c>
      <c r="B552" s="6" t="s">
        <v>1254</v>
      </c>
      <c r="C552" s="6" t="s">
        <v>26</v>
      </c>
      <c r="D552" s="6"/>
      <c r="E552" s="61" t="s">
        <v>2374</v>
      </c>
      <c r="F552" s="33">
        <v>26330</v>
      </c>
      <c r="G552" s="21">
        <f t="shared" si="24"/>
        <v>1972</v>
      </c>
      <c r="H552" s="22">
        <f t="shared" si="22"/>
        <v>54</v>
      </c>
      <c r="I552" s="23"/>
      <c r="J552" s="20" t="s">
        <v>27</v>
      </c>
      <c r="K552" s="6" t="s">
        <v>1256</v>
      </c>
      <c r="L552" s="25"/>
      <c r="M552" s="25" t="s">
        <v>1624</v>
      </c>
      <c r="N552" s="6"/>
      <c r="O552" s="6" t="s">
        <v>784</v>
      </c>
      <c r="P552" s="6">
        <v>162</v>
      </c>
      <c r="Q552" s="6">
        <v>54</v>
      </c>
      <c r="R552" s="26">
        <v>75</v>
      </c>
      <c r="S552" s="26"/>
      <c r="T552" s="26"/>
      <c r="U552" s="6"/>
      <c r="V552" s="26" t="s">
        <v>1625</v>
      </c>
    </row>
    <row r="553" spans="1:22">
      <c r="A553" s="17">
        <v>543</v>
      </c>
      <c r="B553" s="6" t="s">
        <v>1254</v>
      </c>
      <c r="C553" s="6" t="s">
        <v>1626</v>
      </c>
      <c r="D553" s="6"/>
      <c r="E553" s="6" t="s">
        <v>40</v>
      </c>
      <c r="F553" s="33" t="s">
        <v>1627</v>
      </c>
      <c r="G553" s="21" t="str">
        <f t="shared" ref="G553:G558" si="25">RIGHT(F553,4)</f>
        <v>1964</v>
      </c>
      <c r="H553" s="22">
        <f t="shared" si="22"/>
        <v>62</v>
      </c>
      <c r="I553" s="23"/>
      <c r="J553" s="20" t="s">
        <v>27</v>
      </c>
      <c r="K553" s="6" t="s">
        <v>1256</v>
      </c>
      <c r="L553" s="25"/>
      <c r="M553" s="25" t="s">
        <v>1628</v>
      </c>
      <c r="N553" s="6"/>
      <c r="O553" s="6" t="s">
        <v>42</v>
      </c>
      <c r="P553" s="6">
        <v>145</v>
      </c>
      <c r="Q553" s="6">
        <v>40</v>
      </c>
      <c r="R553" s="26">
        <v>72</v>
      </c>
      <c r="S553" s="26"/>
      <c r="T553" s="26"/>
      <c r="U553" s="6"/>
      <c r="V553" s="26" t="s">
        <v>1629</v>
      </c>
    </row>
    <row r="554" spans="1:22">
      <c r="A554" s="20">
        <v>544</v>
      </c>
      <c r="B554" s="6" t="s">
        <v>1254</v>
      </c>
      <c r="C554" s="6" t="s">
        <v>1630</v>
      </c>
      <c r="D554" s="6"/>
      <c r="E554" s="6" t="s">
        <v>261</v>
      </c>
      <c r="F554" s="33" t="s">
        <v>1631</v>
      </c>
      <c r="G554" s="21" t="str">
        <f t="shared" si="25"/>
        <v>1958</v>
      </c>
      <c r="H554" s="22">
        <f t="shared" si="22"/>
        <v>68</v>
      </c>
      <c r="I554" s="23"/>
      <c r="J554" s="20" t="s">
        <v>27</v>
      </c>
      <c r="K554" s="6" t="s">
        <v>1256</v>
      </c>
      <c r="L554" s="25"/>
      <c r="M554" s="25" t="s">
        <v>1632</v>
      </c>
      <c r="N554" s="6"/>
      <c r="O554" s="6" t="s">
        <v>1633</v>
      </c>
      <c r="P554" s="6"/>
      <c r="Q554" s="6"/>
      <c r="R554" s="26">
        <v>93</v>
      </c>
      <c r="S554" s="26"/>
      <c r="T554" s="26"/>
      <c r="U554" s="6"/>
      <c r="V554" s="26" t="s">
        <v>1634</v>
      </c>
    </row>
    <row r="555" spans="1:22">
      <c r="A555" s="17">
        <v>545</v>
      </c>
      <c r="B555" s="6" t="s">
        <v>1254</v>
      </c>
      <c r="C555" s="6" t="s">
        <v>1635</v>
      </c>
      <c r="D555" s="6"/>
      <c r="E555" s="61" t="s">
        <v>2374</v>
      </c>
      <c r="F555" s="33" t="s">
        <v>1636</v>
      </c>
      <c r="G555" s="21" t="str">
        <f t="shared" si="25"/>
        <v>1974</v>
      </c>
      <c r="H555" s="22">
        <f t="shared" si="22"/>
        <v>52</v>
      </c>
      <c r="I555" s="23"/>
      <c r="J555" s="20" t="s">
        <v>27</v>
      </c>
      <c r="K555" s="6" t="s">
        <v>1256</v>
      </c>
      <c r="L555" s="25"/>
      <c r="M555" s="25" t="s">
        <v>1637</v>
      </c>
      <c r="N555" s="6"/>
      <c r="O555" s="6" t="s">
        <v>87</v>
      </c>
      <c r="P555" s="6">
        <v>168</v>
      </c>
      <c r="Q555" s="6">
        <v>76</v>
      </c>
      <c r="R555" s="26">
        <v>96</v>
      </c>
      <c r="S555" s="26"/>
      <c r="T555" s="26"/>
      <c r="U555" s="6"/>
      <c r="V555" s="26" t="s">
        <v>604</v>
      </c>
    </row>
    <row r="556" spans="1:22">
      <c r="A556" s="20">
        <v>546</v>
      </c>
      <c r="B556" s="6" t="s">
        <v>1254</v>
      </c>
      <c r="C556" s="6" t="s">
        <v>1638</v>
      </c>
      <c r="D556" s="6"/>
      <c r="E556" s="6" t="s">
        <v>40</v>
      </c>
      <c r="F556" s="33" t="s">
        <v>1639</v>
      </c>
      <c r="G556" s="21" t="str">
        <f t="shared" si="25"/>
        <v>1943</v>
      </c>
      <c r="H556" s="22">
        <f t="shared" si="22"/>
        <v>83</v>
      </c>
      <c r="I556" s="23" t="s">
        <v>27</v>
      </c>
      <c r="J556" s="20"/>
      <c r="K556" s="6" t="s">
        <v>1256</v>
      </c>
      <c r="L556" s="25"/>
      <c r="M556" s="25" t="s">
        <v>1640</v>
      </c>
      <c r="N556" s="6"/>
      <c r="O556" s="6" t="s">
        <v>373</v>
      </c>
      <c r="P556" s="6">
        <v>156</v>
      </c>
      <c r="Q556" s="6">
        <v>42</v>
      </c>
      <c r="R556" s="26">
        <v>89</v>
      </c>
      <c r="S556" s="26"/>
      <c r="T556" s="26"/>
      <c r="U556" s="6"/>
      <c r="V556" s="26" t="s">
        <v>1641</v>
      </c>
    </row>
    <row r="557" spans="1:22">
      <c r="A557" s="17">
        <v>547</v>
      </c>
      <c r="B557" s="6" t="s">
        <v>1254</v>
      </c>
      <c r="C557" s="6" t="s">
        <v>1642</v>
      </c>
      <c r="D557" s="6"/>
      <c r="E557" s="61" t="s">
        <v>2374</v>
      </c>
      <c r="F557" s="33" t="s">
        <v>1643</v>
      </c>
      <c r="G557" s="21" t="str">
        <f t="shared" si="25"/>
        <v>1968</v>
      </c>
      <c r="H557" s="22">
        <f t="shared" si="22"/>
        <v>58</v>
      </c>
      <c r="I557" s="23" t="s">
        <v>27</v>
      </c>
      <c r="J557" s="20"/>
      <c r="K557" s="6" t="s">
        <v>1256</v>
      </c>
      <c r="L557" s="25"/>
      <c r="M557" s="25" t="s">
        <v>1644</v>
      </c>
      <c r="N557" s="6"/>
      <c r="O557" s="6" t="s">
        <v>1645</v>
      </c>
      <c r="P557" s="6">
        <v>158</v>
      </c>
      <c r="Q557" s="6">
        <v>60</v>
      </c>
      <c r="R557" s="26">
        <v>82</v>
      </c>
      <c r="S557" s="26"/>
      <c r="T557" s="26"/>
      <c r="U557" s="6"/>
      <c r="V557" s="26" t="s">
        <v>1646</v>
      </c>
    </row>
    <row r="558" spans="1:22">
      <c r="A558" s="20">
        <v>548</v>
      </c>
      <c r="B558" s="6" t="s">
        <v>1254</v>
      </c>
      <c r="C558" s="6" t="s">
        <v>1647</v>
      </c>
      <c r="D558" s="6"/>
      <c r="E558" s="6" t="s">
        <v>261</v>
      </c>
      <c r="F558" s="33" t="s">
        <v>1648</v>
      </c>
      <c r="G558" s="21" t="str">
        <f t="shared" si="25"/>
        <v>1992</v>
      </c>
      <c r="H558" s="22">
        <f t="shared" si="22"/>
        <v>34</v>
      </c>
      <c r="I558" s="23" t="s">
        <v>27</v>
      </c>
      <c r="J558" s="20"/>
      <c r="K558" s="6" t="s">
        <v>1256</v>
      </c>
      <c r="L558" s="25"/>
      <c r="M558" s="25" t="s">
        <v>1649</v>
      </c>
      <c r="N558" s="6"/>
      <c r="O558" s="6" t="s">
        <v>87</v>
      </c>
      <c r="P558" s="6">
        <v>165</v>
      </c>
      <c r="Q558" s="6">
        <v>63</v>
      </c>
      <c r="R558" s="26">
        <v>105</v>
      </c>
      <c r="S558" s="26"/>
      <c r="T558" s="26"/>
      <c r="U558" s="6"/>
      <c r="V558" s="26" t="s">
        <v>1650</v>
      </c>
    </row>
    <row r="559" spans="1:22">
      <c r="A559" s="17">
        <v>549</v>
      </c>
      <c r="B559" s="6" t="s">
        <v>1254</v>
      </c>
      <c r="C559" s="6" t="s">
        <v>1651</v>
      </c>
      <c r="D559" s="6"/>
      <c r="E559" s="6" t="s">
        <v>40</v>
      </c>
      <c r="F559" s="33">
        <v>17992</v>
      </c>
      <c r="G559" s="21">
        <f>YEAR(F559)</f>
        <v>1949</v>
      </c>
      <c r="H559" s="22">
        <f t="shared" si="22"/>
        <v>77</v>
      </c>
      <c r="I559" s="23"/>
      <c r="J559" s="20" t="s">
        <v>27</v>
      </c>
      <c r="K559" s="6" t="s">
        <v>1256</v>
      </c>
      <c r="L559" s="25"/>
      <c r="M559" s="25" t="s">
        <v>1652</v>
      </c>
      <c r="N559" s="6"/>
      <c r="O559" s="6" t="s">
        <v>60</v>
      </c>
      <c r="P559" s="6">
        <v>145</v>
      </c>
      <c r="Q559" s="6">
        <v>33</v>
      </c>
      <c r="R559" s="26">
        <v>96</v>
      </c>
      <c r="S559" s="26"/>
      <c r="T559" s="26"/>
      <c r="U559" s="6"/>
      <c r="V559" s="26" t="s">
        <v>1653</v>
      </c>
    </row>
    <row r="560" spans="1:22">
      <c r="A560" s="20">
        <v>550</v>
      </c>
      <c r="B560" s="6" t="s">
        <v>1254</v>
      </c>
      <c r="C560" s="6" t="s">
        <v>1654</v>
      </c>
      <c r="D560" s="6"/>
      <c r="E560" s="61" t="s">
        <v>2374</v>
      </c>
      <c r="F560" s="33">
        <v>39516</v>
      </c>
      <c r="G560" s="21">
        <f>YEAR(F560)</f>
        <v>2008</v>
      </c>
      <c r="H560" s="22">
        <f t="shared" si="22"/>
        <v>18</v>
      </c>
      <c r="I560" s="23" t="s">
        <v>27</v>
      </c>
      <c r="J560" s="20"/>
      <c r="K560" s="6" t="s">
        <v>1256</v>
      </c>
      <c r="L560" s="25"/>
      <c r="M560" s="25" t="s">
        <v>1655</v>
      </c>
      <c r="N560" s="6"/>
      <c r="O560" s="6" t="s">
        <v>1656</v>
      </c>
      <c r="P560" s="6">
        <v>168</v>
      </c>
      <c r="Q560" s="6">
        <v>90</v>
      </c>
      <c r="R560" s="26">
        <v>106</v>
      </c>
      <c r="S560" s="26"/>
      <c r="T560" s="26"/>
      <c r="U560" s="6"/>
      <c r="V560" s="26" t="s">
        <v>1657</v>
      </c>
    </row>
    <row r="561" spans="1:22">
      <c r="A561" s="17">
        <v>551</v>
      </c>
      <c r="B561" s="6" t="s">
        <v>1254</v>
      </c>
      <c r="C561" s="6" t="s">
        <v>1658</v>
      </c>
      <c r="D561" s="6"/>
      <c r="E561" s="61" t="s">
        <v>2374</v>
      </c>
      <c r="F561" s="33">
        <v>27310</v>
      </c>
      <c r="G561" s="21">
        <f>YEAR(F561)</f>
        <v>1974</v>
      </c>
      <c r="H561" s="22">
        <f t="shared" si="22"/>
        <v>52</v>
      </c>
      <c r="I561" s="23"/>
      <c r="J561" s="20" t="s">
        <v>27</v>
      </c>
      <c r="K561" s="6" t="s">
        <v>1256</v>
      </c>
      <c r="L561" s="25"/>
      <c r="M561" s="25" t="s">
        <v>1659</v>
      </c>
      <c r="N561" s="6"/>
      <c r="O561" s="6" t="s">
        <v>784</v>
      </c>
      <c r="P561" s="6">
        <v>165</v>
      </c>
      <c r="Q561" s="6">
        <v>56</v>
      </c>
      <c r="R561" s="26">
        <v>72</v>
      </c>
      <c r="S561" s="26"/>
      <c r="T561" s="26"/>
      <c r="U561" s="6"/>
      <c r="V561" s="26" t="s">
        <v>1660</v>
      </c>
    </row>
    <row r="562" spans="1:22">
      <c r="A562" s="20">
        <v>552</v>
      </c>
      <c r="B562" s="6" t="s">
        <v>1254</v>
      </c>
      <c r="C562" s="6" t="s">
        <v>1584</v>
      </c>
      <c r="D562" s="6"/>
      <c r="E562" s="61" t="s">
        <v>2374</v>
      </c>
      <c r="F562" s="33" t="s">
        <v>1661</v>
      </c>
      <c r="G562" s="21" t="str">
        <f>RIGHT(F562,4)</f>
        <v>1968</v>
      </c>
      <c r="H562" s="22">
        <f t="shared" si="22"/>
        <v>58</v>
      </c>
      <c r="I562" s="23"/>
      <c r="J562" s="20" t="s">
        <v>27</v>
      </c>
      <c r="K562" s="6" t="s">
        <v>1256</v>
      </c>
      <c r="L562" s="25"/>
      <c r="M562" s="25" t="s">
        <v>1662</v>
      </c>
      <c r="N562" s="6"/>
      <c r="O562" s="6" t="s">
        <v>1663</v>
      </c>
      <c r="P562" s="6">
        <v>150</v>
      </c>
      <c r="Q562" s="6">
        <v>40</v>
      </c>
      <c r="R562" s="26">
        <v>82</v>
      </c>
      <c r="S562" s="26"/>
      <c r="T562" s="26"/>
      <c r="U562" s="6"/>
      <c r="V562" s="26" t="s">
        <v>1664</v>
      </c>
    </row>
    <row r="563" spans="1:22">
      <c r="A563" s="17">
        <v>553</v>
      </c>
      <c r="B563" s="6" t="s">
        <v>1254</v>
      </c>
      <c r="C563" s="6" t="s">
        <v>1665</v>
      </c>
      <c r="D563" s="6"/>
      <c r="E563" s="61" t="s">
        <v>2374</v>
      </c>
      <c r="F563" s="33">
        <v>27030</v>
      </c>
      <c r="G563" s="21">
        <f>YEAR(F563)</f>
        <v>1974</v>
      </c>
      <c r="H563" s="22">
        <f t="shared" si="22"/>
        <v>52</v>
      </c>
      <c r="I563" s="23"/>
      <c r="J563" s="20" t="s">
        <v>27</v>
      </c>
      <c r="K563" s="6" t="s">
        <v>1256</v>
      </c>
      <c r="L563" s="25"/>
      <c r="M563" s="25" t="s">
        <v>1666</v>
      </c>
      <c r="N563" s="6"/>
      <c r="O563" s="6" t="s">
        <v>724</v>
      </c>
      <c r="P563" s="6">
        <v>150</v>
      </c>
      <c r="Q563" s="6">
        <v>45</v>
      </c>
      <c r="R563" s="26">
        <v>80</v>
      </c>
      <c r="S563" s="26"/>
      <c r="T563" s="26"/>
      <c r="U563" s="6"/>
      <c r="V563" s="26" t="s">
        <v>1667</v>
      </c>
    </row>
    <row r="564" spans="1:22">
      <c r="A564" s="20">
        <v>554</v>
      </c>
      <c r="B564" s="6" t="s">
        <v>1254</v>
      </c>
      <c r="C564" s="6" t="s">
        <v>1665</v>
      </c>
      <c r="D564" s="6"/>
      <c r="E564" s="6" t="s">
        <v>40</v>
      </c>
      <c r="F564" s="33">
        <v>21186</v>
      </c>
      <c r="G564" s="21" t="str">
        <f>RIGHT(F564,4)</f>
        <v>1186</v>
      </c>
      <c r="H564" s="22">
        <f t="shared" si="22"/>
        <v>840</v>
      </c>
      <c r="I564" s="23"/>
      <c r="J564" s="20" t="s">
        <v>27</v>
      </c>
      <c r="K564" s="6" t="s">
        <v>1256</v>
      </c>
      <c r="L564" s="25"/>
      <c r="M564" s="25" t="s">
        <v>1668</v>
      </c>
      <c r="N564" s="6"/>
      <c r="O564" s="6" t="s">
        <v>149</v>
      </c>
      <c r="P564" s="6">
        <v>145</v>
      </c>
      <c r="Q564" s="6">
        <v>45</v>
      </c>
      <c r="R564" s="26">
        <v>100</v>
      </c>
      <c r="S564" s="26"/>
      <c r="T564" s="26"/>
      <c r="U564" s="6"/>
      <c r="V564" s="26" t="s">
        <v>1669</v>
      </c>
    </row>
    <row r="565" spans="1:22">
      <c r="A565" s="17">
        <v>555</v>
      </c>
      <c r="B565" s="6" t="s">
        <v>1254</v>
      </c>
      <c r="C565" s="6" t="s">
        <v>1670</v>
      </c>
      <c r="D565" s="6"/>
      <c r="E565" s="6" t="s">
        <v>40</v>
      </c>
      <c r="F565" s="33">
        <v>18052</v>
      </c>
      <c r="G565" s="21">
        <f>YEAR(F565)</f>
        <v>1949</v>
      </c>
      <c r="H565" s="22">
        <f t="shared" si="22"/>
        <v>77</v>
      </c>
      <c r="I565" s="23"/>
      <c r="J565" s="20" t="s">
        <v>27</v>
      </c>
      <c r="K565" s="6" t="s">
        <v>1256</v>
      </c>
      <c r="L565" s="25"/>
      <c r="M565" s="25" t="s">
        <v>1671</v>
      </c>
      <c r="N565" s="6"/>
      <c r="O565" s="6" t="s">
        <v>762</v>
      </c>
      <c r="P565" s="6">
        <v>165</v>
      </c>
      <c r="Q565" s="6">
        <v>57</v>
      </c>
      <c r="R565" s="26">
        <v>87</v>
      </c>
      <c r="S565" s="26"/>
      <c r="T565" s="26"/>
      <c r="U565" s="6"/>
      <c r="V565" s="26" t="s">
        <v>1672</v>
      </c>
    </row>
    <row r="566" spans="1:22">
      <c r="A566" s="20">
        <v>556</v>
      </c>
      <c r="B566" s="6" t="s">
        <v>1254</v>
      </c>
      <c r="C566" s="6" t="s">
        <v>1673</v>
      </c>
      <c r="D566" s="6"/>
      <c r="E566" s="6" t="s">
        <v>40</v>
      </c>
      <c r="F566" s="33">
        <v>17542</v>
      </c>
      <c r="G566" s="21">
        <f>YEAR(F566)</f>
        <v>1948</v>
      </c>
      <c r="H566" s="22">
        <f t="shared" si="22"/>
        <v>78</v>
      </c>
      <c r="I566" s="23"/>
      <c r="J566" s="20" t="s">
        <v>27</v>
      </c>
      <c r="K566" s="6" t="s">
        <v>1256</v>
      </c>
      <c r="L566" s="25"/>
      <c r="M566" s="25" t="s">
        <v>1674</v>
      </c>
      <c r="N566" s="6"/>
      <c r="O566" s="6" t="s">
        <v>1600</v>
      </c>
      <c r="P566" s="6"/>
      <c r="Q566" s="6"/>
      <c r="R566" s="26">
        <v>88</v>
      </c>
      <c r="S566" s="26"/>
      <c r="T566" s="26"/>
      <c r="U566" s="6"/>
      <c r="V566" s="26" t="s">
        <v>1675</v>
      </c>
    </row>
    <row r="567" spans="1:22">
      <c r="A567" s="17">
        <v>557</v>
      </c>
      <c r="B567" s="6" t="s">
        <v>1254</v>
      </c>
      <c r="C567" s="6" t="s">
        <v>1676</v>
      </c>
      <c r="D567" s="6"/>
      <c r="E567" s="6" t="s">
        <v>40</v>
      </c>
      <c r="F567" s="33">
        <v>21158</v>
      </c>
      <c r="G567" s="21" t="str">
        <f>RIGHT(F567,4)</f>
        <v>1158</v>
      </c>
      <c r="H567" s="22">
        <f t="shared" si="22"/>
        <v>868</v>
      </c>
      <c r="I567" s="23" t="s">
        <v>27</v>
      </c>
      <c r="J567" s="20"/>
      <c r="K567" s="6" t="s">
        <v>1256</v>
      </c>
      <c r="L567" s="25"/>
      <c r="M567" s="25" t="s">
        <v>1677</v>
      </c>
      <c r="N567" s="6"/>
      <c r="O567" s="6" t="s">
        <v>1678</v>
      </c>
      <c r="P567" s="6">
        <v>174</v>
      </c>
      <c r="Q567" s="6">
        <v>55</v>
      </c>
      <c r="R567" s="26">
        <v>87</v>
      </c>
      <c r="S567" s="26"/>
      <c r="T567" s="26"/>
      <c r="U567" s="6"/>
      <c r="V567" s="26" t="s">
        <v>1679</v>
      </c>
    </row>
    <row r="568" spans="1:22">
      <c r="A568" s="20">
        <v>558</v>
      </c>
      <c r="B568" s="6" t="s">
        <v>1254</v>
      </c>
      <c r="C568" s="6" t="s">
        <v>1680</v>
      </c>
      <c r="D568" s="6"/>
      <c r="E568" s="6" t="s">
        <v>40</v>
      </c>
      <c r="F568" s="33" t="s">
        <v>1681</v>
      </c>
      <c r="G568" s="21" t="str">
        <f>RIGHT(F568,4)</f>
        <v>1964</v>
      </c>
      <c r="H568" s="22">
        <f t="shared" si="22"/>
        <v>62</v>
      </c>
      <c r="I568" s="23" t="s">
        <v>27</v>
      </c>
      <c r="J568" s="20"/>
      <c r="K568" s="6" t="s">
        <v>1256</v>
      </c>
      <c r="L568" s="25"/>
      <c r="M568" s="25" t="s">
        <v>1682</v>
      </c>
      <c r="N568" s="6"/>
      <c r="O568" s="6" t="s">
        <v>1683</v>
      </c>
      <c r="P568" s="6">
        <v>173</v>
      </c>
      <c r="Q568" s="6">
        <v>67</v>
      </c>
      <c r="R568" s="26">
        <v>89</v>
      </c>
      <c r="S568" s="26"/>
      <c r="T568" s="26"/>
      <c r="U568" s="6"/>
      <c r="V568" s="26" t="s">
        <v>1684</v>
      </c>
    </row>
    <row r="569" spans="1:22">
      <c r="A569" s="17">
        <v>559</v>
      </c>
      <c r="B569" s="6" t="s">
        <v>1254</v>
      </c>
      <c r="C569" s="6" t="s">
        <v>1685</v>
      </c>
      <c r="D569" s="6"/>
      <c r="E569" s="6" t="s">
        <v>40</v>
      </c>
      <c r="F569" s="33">
        <v>21096</v>
      </c>
      <c r="G569" s="21" t="str">
        <f>RIGHT(F569,4)</f>
        <v>1096</v>
      </c>
      <c r="H569" s="22">
        <f t="shared" si="22"/>
        <v>930</v>
      </c>
      <c r="I569" s="23"/>
      <c r="J569" s="20" t="s">
        <v>27</v>
      </c>
      <c r="K569" s="6" t="s">
        <v>1256</v>
      </c>
      <c r="L569" s="25"/>
      <c r="M569" s="25" t="s">
        <v>1686</v>
      </c>
      <c r="N569" s="6"/>
      <c r="O569" s="6" t="s">
        <v>570</v>
      </c>
      <c r="P569" s="6">
        <v>157</v>
      </c>
      <c r="Q569" s="6">
        <v>56</v>
      </c>
      <c r="R569" s="26">
        <v>83</v>
      </c>
      <c r="S569" s="26"/>
      <c r="T569" s="26"/>
      <c r="U569" s="6"/>
      <c r="V569" s="26" t="s">
        <v>1687</v>
      </c>
    </row>
    <row r="570" spans="1:22">
      <c r="A570" s="20">
        <v>560</v>
      </c>
      <c r="B570" s="6" t="s">
        <v>1254</v>
      </c>
      <c r="C570" s="6" t="s">
        <v>1688</v>
      </c>
      <c r="D570" s="6"/>
      <c r="E570" s="6" t="s">
        <v>40</v>
      </c>
      <c r="F570" s="33" t="s">
        <v>1135</v>
      </c>
      <c r="G570" s="21" t="str">
        <f>RIGHT(F570,4)</f>
        <v>1950</v>
      </c>
      <c r="H570" s="22">
        <f t="shared" si="22"/>
        <v>76</v>
      </c>
      <c r="I570" s="23"/>
      <c r="J570" s="20" t="s">
        <v>27</v>
      </c>
      <c r="K570" s="6" t="s">
        <v>1256</v>
      </c>
      <c r="L570" s="25"/>
      <c r="M570" s="25" t="s">
        <v>1689</v>
      </c>
      <c r="N570" s="6"/>
      <c r="O570" s="6" t="s">
        <v>60</v>
      </c>
      <c r="P570" s="6">
        <v>160</v>
      </c>
      <c r="Q570" s="6">
        <v>55</v>
      </c>
      <c r="R570" s="26">
        <v>68</v>
      </c>
      <c r="S570" s="26"/>
      <c r="T570" s="26"/>
      <c r="U570" s="6"/>
      <c r="V570" s="26" t="s">
        <v>1690</v>
      </c>
    </row>
    <row r="571" spans="1:22">
      <c r="A571" s="17">
        <v>561</v>
      </c>
      <c r="B571" s="6" t="s">
        <v>1254</v>
      </c>
      <c r="C571" s="6" t="s">
        <v>1691</v>
      </c>
      <c r="D571" s="6"/>
      <c r="E571" s="6" t="s">
        <v>40</v>
      </c>
      <c r="F571" s="33" t="s">
        <v>1692</v>
      </c>
      <c r="G571" s="21" t="str">
        <f>RIGHT(F571,4)</f>
        <v>1964</v>
      </c>
      <c r="H571" s="22">
        <f t="shared" si="22"/>
        <v>62</v>
      </c>
      <c r="I571" s="23"/>
      <c r="J571" s="20" t="s">
        <v>27</v>
      </c>
      <c r="K571" s="6" t="s">
        <v>1256</v>
      </c>
      <c r="L571" s="25"/>
      <c r="M571" s="25" t="s">
        <v>1693</v>
      </c>
      <c r="N571" s="6"/>
      <c r="O571" s="6" t="s">
        <v>60</v>
      </c>
      <c r="P571" s="6">
        <v>156</v>
      </c>
      <c r="Q571" s="6">
        <v>52</v>
      </c>
      <c r="R571" s="26">
        <v>70</v>
      </c>
      <c r="S571" s="26"/>
      <c r="T571" s="26"/>
      <c r="U571" s="6"/>
      <c r="V571" s="26" t="s">
        <v>1694</v>
      </c>
    </row>
    <row r="572" spans="1:22">
      <c r="A572" s="20">
        <v>562</v>
      </c>
      <c r="B572" s="6" t="s">
        <v>1254</v>
      </c>
      <c r="C572" s="6" t="s">
        <v>1695</v>
      </c>
      <c r="D572" s="6"/>
      <c r="E572" s="6" t="s">
        <v>40</v>
      </c>
      <c r="F572" s="33">
        <v>22193</v>
      </c>
      <c r="G572" s="21">
        <f>YEAR(F572)</f>
        <v>1960</v>
      </c>
      <c r="H572" s="22">
        <f t="shared" si="22"/>
        <v>66</v>
      </c>
      <c r="I572" s="23"/>
      <c r="J572" s="20" t="s">
        <v>27</v>
      </c>
      <c r="K572" s="6" t="s">
        <v>1256</v>
      </c>
      <c r="L572" s="25"/>
      <c r="M572" s="25" t="s">
        <v>1696</v>
      </c>
      <c r="N572" s="6"/>
      <c r="O572" s="6" t="s">
        <v>34</v>
      </c>
      <c r="P572" s="6">
        <v>156</v>
      </c>
      <c r="Q572" s="6">
        <v>55</v>
      </c>
      <c r="R572" s="26">
        <v>80</v>
      </c>
      <c r="S572" s="26"/>
      <c r="T572" s="26"/>
      <c r="U572" s="6"/>
      <c r="V572" s="26" t="s">
        <v>1697</v>
      </c>
    </row>
    <row r="573" spans="1:22">
      <c r="A573" s="17">
        <v>563</v>
      </c>
      <c r="B573" s="6" t="s">
        <v>1254</v>
      </c>
      <c r="C573" s="6" t="s">
        <v>1698</v>
      </c>
      <c r="D573" s="6"/>
      <c r="E573" s="6" t="s">
        <v>40</v>
      </c>
      <c r="F573" s="33" t="s">
        <v>1699</v>
      </c>
      <c r="G573" s="21" t="str">
        <f>RIGHT(F573,4)</f>
        <v>1965</v>
      </c>
      <c r="H573" s="22">
        <f t="shared" si="22"/>
        <v>61</v>
      </c>
      <c r="I573" s="23"/>
      <c r="J573" s="20" t="s">
        <v>27</v>
      </c>
      <c r="K573" s="6" t="s">
        <v>1256</v>
      </c>
      <c r="L573" s="25"/>
      <c r="M573" s="25" t="s">
        <v>1700</v>
      </c>
      <c r="N573" s="6"/>
      <c r="O573" s="6" t="s">
        <v>313</v>
      </c>
      <c r="P573" s="6">
        <v>150</v>
      </c>
      <c r="Q573" s="6">
        <v>47</v>
      </c>
      <c r="R573" s="26">
        <v>100</v>
      </c>
      <c r="S573" s="26"/>
      <c r="T573" s="26"/>
      <c r="U573" s="6"/>
      <c r="V573" s="26" t="s">
        <v>1701</v>
      </c>
    </row>
    <row r="574" spans="1:22">
      <c r="A574" s="20">
        <v>564</v>
      </c>
      <c r="B574" s="6" t="s">
        <v>1254</v>
      </c>
      <c r="C574" s="6" t="s">
        <v>1702</v>
      </c>
      <c r="D574" s="6"/>
      <c r="E574" s="61" t="s">
        <v>2374</v>
      </c>
      <c r="F574" s="33">
        <v>29009</v>
      </c>
      <c r="G574" s="21">
        <f>YEAR(F574)</f>
        <v>1979</v>
      </c>
      <c r="H574" s="22">
        <f t="shared" si="22"/>
        <v>47</v>
      </c>
      <c r="I574" s="23" t="s">
        <v>27</v>
      </c>
      <c r="J574" s="20"/>
      <c r="K574" s="6" t="s">
        <v>1256</v>
      </c>
      <c r="L574" s="25"/>
      <c r="M574" s="25" t="s">
        <v>1703</v>
      </c>
      <c r="N574" s="6"/>
      <c r="O574" s="6" t="s">
        <v>1704</v>
      </c>
      <c r="P574" s="6">
        <v>162</v>
      </c>
      <c r="Q574" s="6">
        <v>60</v>
      </c>
      <c r="R574" s="26">
        <v>72</v>
      </c>
      <c r="S574" s="26"/>
      <c r="T574" s="26"/>
      <c r="U574" s="6"/>
      <c r="V574" s="26" t="s">
        <v>1705</v>
      </c>
    </row>
    <row r="575" spans="1:22">
      <c r="A575" s="17">
        <v>565</v>
      </c>
      <c r="B575" s="6" t="s">
        <v>1254</v>
      </c>
      <c r="C575" s="6" t="s">
        <v>601</v>
      </c>
      <c r="D575" s="6"/>
      <c r="E575" s="6" t="s">
        <v>261</v>
      </c>
      <c r="F575" s="33">
        <v>25569</v>
      </c>
      <c r="G575" s="21">
        <f>YEAR(F575)</f>
        <v>1970</v>
      </c>
      <c r="H575" s="22">
        <f t="shared" si="22"/>
        <v>56</v>
      </c>
      <c r="I575" s="23"/>
      <c r="J575" s="20" t="s">
        <v>27</v>
      </c>
      <c r="K575" s="6" t="s">
        <v>1256</v>
      </c>
      <c r="L575" s="25"/>
      <c r="M575" s="25" t="s">
        <v>1706</v>
      </c>
      <c r="N575" s="6"/>
      <c r="O575" s="6" t="s">
        <v>288</v>
      </c>
      <c r="P575" s="6">
        <v>153</v>
      </c>
      <c r="Q575" s="6">
        <v>58</v>
      </c>
      <c r="R575" s="26">
        <v>77</v>
      </c>
      <c r="S575" s="26"/>
      <c r="T575" s="26"/>
      <c r="U575" s="6"/>
      <c r="V575" s="26" t="s">
        <v>1707</v>
      </c>
    </row>
    <row r="576" spans="1:22">
      <c r="A576" s="20">
        <v>566</v>
      </c>
      <c r="B576" s="6" t="s">
        <v>1254</v>
      </c>
      <c r="C576" s="6" t="s">
        <v>1708</v>
      </c>
      <c r="D576" s="6"/>
      <c r="E576" s="6" t="s">
        <v>261</v>
      </c>
      <c r="F576" s="33">
        <v>17538</v>
      </c>
      <c r="G576" s="21">
        <f>YEAR(F576)</f>
        <v>1948</v>
      </c>
      <c r="H576" s="22">
        <f t="shared" si="22"/>
        <v>78</v>
      </c>
      <c r="I576" s="23"/>
      <c r="J576" s="20" t="s">
        <v>27</v>
      </c>
      <c r="K576" s="6" t="s">
        <v>1256</v>
      </c>
      <c r="L576" s="25"/>
      <c r="M576" s="25" t="s">
        <v>1709</v>
      </c>
      <c r="N576" s="6"/>
      <c r="O576" s="6" t="s">
        <v>38</v>
      </c>
      <c r="P576" s="6">
        <v>160</v>
      </c>
      <c r="Q576" s="6">
        <v>46</v>
      </c>
      <c r="R576" s="26">
        <v>80</v>
      </c>
      <c r="S576" s="26"/>
      <c r="T576" s="26"/>
      <c r="U576" s="6"/>
      <c r="V576" s="26" t="s">
        <v>1710</v>
      </c>
    </row>
    <row r="577" spans="1:22">
      <c r="A577" s="17">
        <v>567</v>
      </c>
      <c r="B577" s="6" t="s">
        <v>1254</v>
      </c>
      <c r="C577" s="6" t="s">
        <v>1711</v>
      </c>
      <c r="D577" s="6"/>
      <c r="E577" s="6" t="s">
        <v>609</v>
      </c>
      <c r="F577" s="33" t="s">
        <v>1712</v>
      </c>
      <c r="G577" s="21" t="str">
        <f>RIGHT(F577,4)</f>
        <v>1997</v>
      </c>
      <c r="H577" s="22">
        <f t="shared" si="22"/>
        <v>29</v>
      </c>
      <c r="I577" s="23" t="s">
        <v>27</v>
      </c>
      <c r="J577" s="20"/>
      <c r="K577" s="6" t="s">
        <v>1256</v>
      </c>
      <c r="L577" s="25"/>
      <c r="M577" s="25" t="s">
        <v>1713</v>
      </c>
      <c r="N577" s="6"/>
      <c r="O577" s="6" t="s">
        <v>34</v>
      </c>
      <c r="P577" s="6">
        <v>150</v>
      </c>
      <c r="Q577" s="6">
        <v>75</v>
      </c>
      <c r="R577" s="26">
        <v>72</v>
      </c>
      <c r="S577" s="26"/>
      <c r="T577" s="26"/>
      <c r="U577" s="6"/>
      <c r="V577" s="26" t="s">
        <v>1714</v>
      </c>
    </row>
    <row r="578" spans="1:22">
      <c r="A578" s="20">
        <v>568</v>
      </c>
      <c r="B578" s="6" t="s">
        <v>1254</v>
      </c>
      <c r="C578" s="6" t="s">
        <v>1715</v>
      </c>
      <c r="D578" s="6"/>
      <c r="E578" s="61" t="s">
        <v>2374</v>
      </c>
      <c r="F578" s="33">
        <v>31049</v>
      </c>
      <c r="G578" s="21">
        <f t="shared" ref="G578:G581" si="26">YEAR(F578)</f>
        <v>1985</v>
      </c>
      <c r="H578" s="22">
        <f t="shared" si="22"/>
        <v>41</v>
      </c>
      <c r="I578" s="23"/>
      <c r="J578" s="20" t="s">
        <v>27</v>
      </c>
      <c r="K578" s="6" t="s">
        <v>1256</v>
      </c>
      <c r="L578" s="25"/>
      <c r="M578" s="25" t="s">
        <v>1716</v>
      </c>
      <c r="N578" s="6"/>
      <c r="O578" s="6" t="s">
        <v>113</v>
      </c>
      <c r="P578" s="6">
        <v>167</v>
      </c>
      <c r="Q578" s="6">
        <v>50</v>
      </c>
      <c r="R578" s="26">
        <v>71</v>
      </c>
      <c r="S578" s="26"/>
      <c r="T578" s="26"/>
      <c r="U578" s="6"/>
      <c r="V578" s="26" t="s">
        <v>1717</v>
      </c>
    </row>
    <row r="579" spans="1:22">
      <c r="A579" s="17">
        <v>569</v>
      </c>
      <c r="B579" s="6" t="s">
        <v>1254</v>
      </c>
      <c r="C579" s="6" t="s">
        <v>1718</v>
      </c>
      <c r="D579" s="6"/>
      <c r="E579" s="6" t="s">
        <v>40</v>
      </c>
      <c r="F579" s="33">
        <v>21008</v>
      </c>
      <c r="G579" s="21">
        <f t="shared" si="26"/>
        <v>1957</v>
      </c>
      <c r="H579" s="22">
        <f t="shared" si="22"/>
        <v>69</v>
      </c>
      <c r="I579" s="23" t="s">
        <v>27</v>
      </c>
      <c r="J579" s="20"/>
      <c r="K579" s="6" t="s">
        <v>1256</v>
      </c>
      <c r="L579" s="25"/>
      <c r="M579" s="25" t="s">
        <v>1719</v>
      </c>
      <c r="N579" s="6"/>
      <c r="O579" s="6" t="s">
        <v>1720</v>
      </c>
      <c r="P579" s="6">
        <v>168</v>
      </c>
      <c r="Q579" s="6">
        <v>52</v>
      </c>
      <c r="R579" s="26">
        <v>97</v>
      </c>
      <c r="S579" s="26"/>
      <c r="T579" s="26"/>
      <c r="U579" s="6"/>
      <c r="V579" s="26" t="s">
        <v>1721</v>
      </c>
    </row>
    <row r="580" spans="1:22">
      <c r="A580" s="20">
        <v>570</v>
      </c>
      <c r="B580" s="6" t="s">
        <v>1254</v>
      </c>
      <c r="C580" s="6" t="s">
        <v>1722</v>
      </c>
      <c r="D580" s="6"/>
      <c r="E580" s="6" t="s">
        <v>40</v>
      </c>
      <c r="F580" s="33">
        <v>21956</v>
      </c>
      <c r="G580" s="21">
        <f t="shared" si="26"/>
        <v>1960</v>
      </c>
      <c r="H580" s="22">
        <f t="shared" si="22"/>
        <v>66</v>
      </c>
      <c r="I580" s="23"/>
      <c r="J580" s="20" t="s">
        <v>27</v>
      </c>
      <c r="K580" s="6" t="s">
        <v>1256</v>
      </c>
      <c r="L580" s="25"/>
      <c r="M580" s="25" t="s">
        <v>1723</v>
      </c>
      <c r="N580" s="6"/>
      <c r="O580" s="6" t="s">
        <v>113</v>
      </c>
      <c r="P580" s="6">
        <v>140</v>
      </c>
      <c r="Q580" s="6">
        <v>38</v>
      </c>
      <c r="R580" s="26">
        <v>92</v>
      </c>
      <c r="S580" s="26"/>
      <c r="T580" s="26"/>
      <c r="U580" s="6"/>
      <c r="V580" s="26" t="s">
        <v>1724</v>
      </c>
    </row>
    <row r="581" spans="1:22">
      <c r="A581" s="17">
        <v>571</v>
      </c>
      <c r="B581" s="6" t="s">
        <v>1254</v>
      </c>
      <c r="C581" s="6" t="s">
        <v>1725</v>
      </c>
      <c r="D581" s="6"/>
      <c r="E581" s="61" t="s">
        <v>2374</v>
      </c>
      <c r="F581" s="33">
        <v>27030</v>
      </c>
      <c r="G581" s="21">
        <f t="shared" si="26"/>
        <v>1974</v>
      </c>
      <c r="H581" s="22">
        <f t="shared" si="22"/>
        <v>52</v>
      </c>
      <c r="I581" s="23" t="s">
        <v>27</v>
      </c>
      <c r="J581" s="20"/>
      <c r="K581" s="6" t="s">
        <v>1256</v>
      </c>
      <c r="L581" s="25"/>
      <c r="M581" s="25" t="s">
        <v>1726</v>
      </c>
      <c r="N581" s="6"/>
      <c r="O581" s="6" t="s">
        <v>34</v>
      </c>
      <c r="P581" s="6">
        <v>160</v>
      </c>
      <c r="Q581" s="6">
        <v>56</v>
      </c>
      <c r="R581" s="26">
        <v>80</v>
      </c>
      <c r="S581" s="26"/>
      <c r="T581" s="26"/>
      <c r="U581" s="6"/>
      <c r="V581" s="26" t="s">
        <v>1727</v>
      </c>
    </row>
    <row r="582" spans="1:22">
      <c r="A582" s="20">
        <v>572</v>
      </c>
      <c r="B582" s="6" t="s">
        <v>1254</v>
      </c>
      <c r="C582" s="6" t="s">
        <v>1728</v>
      </c>
      <c r="D582" s="6"/>
      <c r="E582" s="61" t="s">
        <v>2374</v>
      </c>
      <c r="F582" s="33" t="s">
        <v>1729</v>
      </c>
      <c r="G582" s="21" t="str">
        <f>RIGHT(F582,4)</f>
        <v>1973</v>
      </c>
      <c r="H582" s="22">
        <f t="shared" si="22"/>
        <v>53</v>
      </c>
      <c r="I582" s="23" t="s">
        <v>27</v>
      </c>
      <c r="J582" s="20"/>
      <c r="K582" s="6" t="s">
        <v>1256</v>
      </c>
      <c r="L582" s="25"/>
      <c r="M582" s="5" t="s">
        <v>1730</v>
      </c>
      <c r="N582" s="6"/>
      <c r="O582" s="6" t="s">
        <v>1109</v>
      </c>
      <c r="P582" s="6">
        <v>167</v>
      </c>
      <c r="Q582" s="6">
        <v>61</v>
      </c>
      <c r="R582" s="26">
        <v>80</v>
      </c>
      <c r="S582" s="26"/>
      <c r="T582" s="26"/>
      <c r="U582" s="6"/>
      <c r="V582" s="26" t="s">
        <v>1731</v>
      </c>
    </row>
    <row r="583" spans="1:22">
      <c r="A583" s="17">
        <v>573</v>
      </c>
      <c r="B583" s="6" t="s">
        <v>1254</v>
      </c>
      <c r="C583" s="6" t="s">
        <v>1732</v>
      </c>
      <c r="D583" s="6"/>
      <c r="E583" s="6" t="s">
        <v>40</v>
      </c>
      <c r="F583" s="33">
        <v>12095</v>
      </c>
      <c r="G583" s="21">
        <f>YEAR(F583)</f>
        <v>1933</v>
      </c>
      <c r="H583" s="22">
        <f t="shared" si="22"/>
        <v>93</v>
      </c>
      <c r="I583" s="23" t="s">
        <v>27</v>
      </c>
      <c r="J583" s="20"/>
      <c r="K583" s="6" t="s">
        <v>1256</v>
      </c>
      <c r="L583" s="25"/>
      <c r="M583" s="25" t="s">
        <v>1733</v>
      </c>
      <c r="N583" s="6"/>
      <c r="O583" s="6" t="s">
        <v>1734</v>
      </c>
      <c r="P583" s="6">
        <v>158</v>
      </c>
      <c r="Q583" s="6">
        <v>48</v>
      </c>
      <c r="R583" s="26">
        <v>80</v>
      </c>
      <c r="S583" s="26"/>
      <c r="T583" s="26"/>
      <c r="U583" s="6"/>
      <c r="V583" s="26" t="s">
        <v>1735</v>
      </c>
    </row>
    <row r="584" spans="1:22">
      <c r="A584" s="20">
        <v>574</v>
      </c>
      <c r="B584" s="6" t="s">
        <v>1254</v>
      </c>
      <c r="C584" s="6" t="s">
        <v>1736</v>
      </c>
      <c r="D584" s="6"/>
      <c r="E584" s="61" t="s">
        <v>2374</v>
      </c>
      <c r="F584" s="33">
        <v>33026</v>
      </c>
      <c r="G584" s="21">
        <f>YEAR(F584)</f>
        <v>1990</v>
      </c>
      <c r="H584" s="22">
        <f t="shared" si="22"/>
        <v>36</v>
      </c>
      <c r="I584" s="23" t="s">
        <v>27</v>
      </c>
      <c r="J584" s="20"/>
      <c r="K584" s="6" t="s">
        <v>1256</v>
      </c>
      <c r="L584" s="25"/>
      <c r="M584" s="25" t="s">
        <v>1737</v>
      </c>
      <c r="N584" s="6"/>
      <c r="O584" s="6" t="s">
        <v>113</v>
      </c>
      <c r="P584" s="6">
        <v>172</v>
      </c>
      <c r="Q584" s="6">
        <v>59</v>
      </c>
      <c r="R584" s="26">
        <v>90</v>
      </c>
      <c r="S584" s="26"/>
      <c r="T584" s="26"/>
      <c r="U584" s="6"/>
      <c r="V584" s="26" t="s">
        <v>1738</v>
      </c>
    </row>
    <row r="585" spans="1:22">
      <c r="A585" s="17">
        <v>575</v>
      </c>
      <c r="B585" s="6" t="s">
        <v>1254</v>
      </c>
      <c r="C585" s="6" t="s">
        <v>1739</v>
      </c>
      <c r="D585" s="6"/>
      <c r="E585" s="6" t="s">
        <v>40</v>
      </c>
      <c r="F585" s="33">
        <v>16408</v>
      </c>
      <c r="G585" s="21">
        <f>YEAR(F585)</f>
        <v>1944</v>
      </c>
      <c r="H585" s="22">
        <f t="shared" si="22"/>
        <v>82</v>
      </c>
      <c r="I585" s="23" t="s">
        <v>27</v>
      </c>
      <c r="J585" s="20"/>
      <c r="K585" s="6" t="s">
        <v>1256</v>
      </c>
      <c r="L585" s="25"/>
      <c r="M585" s="25" t="s">
        <v>1740</v>
      </c>
      <c r="N585" s="6"/>
      <c r="O585" s="6" t="s">
        <v>687</v>
      </c>
      <c r="P585" s="6">
        <v>165</v>
      </c>
      <c r="Q585" s="6">
        <v>68</v>
      </c>
      <c r="R585" s="26">
        <v>96</v>
      </c>
      <c r="S585" s="26"/>
      <c r="T585" s="26"/>
      <c r="U585" s="6"/>
      <c r="V585" s="26" t="s">
        <v>1741</v>
      </c>
    </row>
    <row r="586" spans="1:22">
      <c r="A586" s="20">
        <v>576</v>
      </c>
      <c r="B586" s="6" t="s">
        <v>1254</v>
      </c>
      <c r="C586" s="6" t="s">
        <v>1742</v>
      </c>
      <c r="D586" s="6"/>
      <c r="E586" s="6" t="s">
        <v>40</v>
      </c>
      <c r="F586" s="33" t="s">
        <v>1743</v>
      </c>
      <c r="G586" s="21" t="str">
        <f>RIGHT(F586,4)</f>
        <v>1950</v>
      </c>
      <c r="H586" s="22">
        <f t="shared" si="22"/>
        <v>76</v>
      </c>
      <c r="I586" s="23"/>
      <c r="J586" s="20" t="s">
        <v>27</v>
      </c>
      <c r="K586" s="6" t="s">
        <v>1256</v>
      </c>
      <c r="L586" s="25"/>
      <c r="M586" s="25" t="s">
        <v>1744</v>
      </c>
      <c r="N586" s="6"/>
      <c r="O586" s="6" t="s">
        <v>333</v>
      </c>
      <c r="P586" s="6">
        <v>158</v>
      </c>
      <c r="Q586" s="6">
        <v>58</v>
      </c>
      <c r="R586" s="26">
        <v>88</v>
      </c>
      <c r="S586" s="26"/>
      <c r="T586" s="26"/>
      <c r="U586" s="6"/>
      <c r="V586" s="26" t="s">
        <v>1745</v>
      </c>
    </row>
    <row r="587" spans="1:22">
      <c r="A587" s="17">
        <v>577</v>
      </c>
      <c r="B587" s="6" t="s">
        <v>1254</v>
      </c>
      <c r="C587" s="6" t="s">
        <v>1746</v>
      </c>
      <c r="D587" s="6"/>
      <c r="E587" s="6" t="s">
        <v>40</v>
      </c>
      <c r="F587" s="33">
        <v>13798</v>
      </c>
      <c r="G587" s="21">
        <f>YEAR(F587)</f>
        <v>1937</v>
      </c>
      <c r="H587" s="22">
        <f t="shared" ref="H587:H601" si="27">2026-G587</f>
        <v>89</v>
      </c>
      <c r="I587" s="23" t="s">
        <v>27</v>
      </c>
      <c r="J587" s="20"/>
      <c r="K587" s="6" t="s">
        <v>1256</v>
      </c>
      <c r="L587" s="25"/>
      <c r="M587" s="25" t="s">
        <v>1747</v>
      </c>
      <c r="N587" s="6"/>
      <c r="O587" s="6" t="s">
        <v>288</v>
      </c>
      <c r="P587" s="6">
        <v>160</v>
      </c>
      <c r="Q587" s="6">
        <v>48</v>
      </c>
      <c r="R587" s="26">
        <v>93</v>
      </c>
      <c r="S587" s="26"/>
      <c r="T587" s="26"/>
      <c r="U587" s="6"/>
      <c r="V587" s="26" t="s">
        <v>1748</v>
      </c>
    </row>
    <row r="588" spans="1:22">
      <c r="A588" s="20">
        <v>578</v>
      </c>
      <c r="B588" s="6" t="s">
        <v>1254</v>
      </c>
      <c r="C588" s="6" t="s">
        <v>1749</v>
      </c>
      <c r="D588" s="6"/>
      <c r="E588" s="6" t="s">
        <v>40</v>
      </c>
      <c r="F588" s="33">
        <v>11974</v>
      </c>
      <c r="G588" s="21" t="str">
        <f>RIGHT(F588,4)</f>
        <v>1974</v>
      </c>
      <c r="H588" s="22">
        <f t="shared" si="27"/>
        <v>52</v>
      </c>
      <c r="I588" s="23" t="s">
        <v>27</v>
      </c>
      <c r="J588" s="20"/>
      <c r="K588" s="6" t="s">
        <v>1256</v>
      </c>
      <c r="L588" s="25"/>
      <c r="M588" s="25" t="s">
        <v>1750</v>
      </c>
      <c r="N588" s="6"/>
      <c r="O588" s="6" t="s">
        <v>275</v>
      </c>
      <c r="P588" s="6">
        <v>162</v>
      </c>
      <c r="Q588" s="6">
        <v>48</v>
      </c>
      <c r="R588" s="26">
        <v>90</v>
      </c>
      <c r="S588" s="26"/>
      <c r="T588" s="26"/>
      <c r="U588" s="6"/>
      <c r="V588" s="26" t="s">
        <v>1751</v>
      </c>
    </row>
    <row r="589" spans="1:22">
      <c r="A589" s="17">
        <v>579</v>
      </c>
      <c r="B589" s="6" t="s">
        <v>1254</v>
      </c>
      <c r="C589" s="6" t="s">
        <v>1752</v>
      </c>
      <c r="D589" s="6"/>
      <c r="E589" s="62" t="s">
        <v>2376</v>
      </c>
      <c r="F589" s="33">
        <v>40313</v>
      </c>
      <c r="G589" s="21">
        <f t="shared" ref="G589:G601" si="28">YEAR(F589)</f>
        <v>2010</v>
      </c>
      <c r="H589" s="22">
        <f t="shared" si="27"/>
        <v>16</v>
      </c>
      <c r="I589" s="23" t="s">
        <v>27</v>
      </c>
      <c r="J589" s="20"/>
      <c r="K589" s="6" t="s">
        <v>1256</v>
      </c>
      <c r="L589" s="25"/>
      <c r="M589" s="25" t="s">
        <v>1753</v>
      </c>
      <c r="N589" s="6"/>
      <c r="O589" s="6"/>
      <c r="P589" s="6"/>
      <c r="Q589" s="6"/>
      <c r="R589" s="26"/>
      <c r="S589" s="26"/>
      <c r="T589" s="26"/>
      <c r="U589" s="6"/>
      <c r="V589" s="26" t="s">
        <v>1754</v>
      </c>
    </row>
    <row r="590" spans="1:22">
      <c r="A590" s="20">
        <v>580</v>
      </c>
      <c r="B590" s="6" t="s">
        <v>1254</v>
      </c>
      <c r="C590" s="6" t="s">
        <v>1755</v>
      </c>
      <c r="D590" s="6"/>
      <c r="E590" s="6" t="s">
        <v>40</v>
      </c>
      <c r="F590" s="33">
        <v>16435</v>
      </c>
      <c r="G590" s="21">
        <f t="shared" si="28"/>
        <v>1944</v>
      </c>
      <c r="H590" s="22">
        <f t="shared" si="27"/>
        <v>82</v>
      </c>
      <c r="I590" s="23" t="s">
        <v>27</v>
      </c>
      <c r="J590" s="20"/>
      <c r="K590" s="6"/>
      <c r="L590" s="25"/>
      <c r="M590" s="25" t="s">
        <v>1756</v>
      </c>
      <c r="N590" s="6"/>
      <c r="O590" s="6" t="s">
        <v>273</v>
      </c>
      <c r="P590" s="6">
        <v>160</v>
      </c>
      <c r="Q590" s="6">
        <v>57</v>
      </c>
      <c r="R590" s="26">
        <v>84</v>
      </c>
      <c r="S590" s="26"/>
      <c r="T590" s="26"/>
      <c r="U590" s="6"/>
      <c r="V590" s="26" t="s">
        <v>1757</v>
      </c>
    </row>
    <row r="591" spans="1:22">
      <c r="A591" s="17">
        <v>581</v>
      </c>
      <c r="B591" s="6" t="s">
        <v>1254</v>
      </c>
      <c r="C591" s="6" t="s">
        <v>1758</v>
      </c>
      <c r="D591" s="6"/>
      <c r="E591" s="63" t="s">
        <v>2376</v>
      </c>
      <c r="F591" s="33">
        <v>40816</v>
      </c>
      <c r="G591" s="21">
        <f t="shared" si="28"/>
        <v>2011</v>
      </c>
      <c r="H591" s="22">
        <f t="shared" si="27"/>
        <v>15</v>
      </c>
      <c r="I591" s="23"/>
      <c r="J591" s="20" t="s">
        <v>27</v>
      </c>
      <c r="K591" s="6" t="s">
        <v>1256</v>
      </c>
      <c r="L591" s="25"/>
      <c r="M591" s="25" t="s">
        <v>1759</v>
      </c>
      <c r="N591" s="6"/>
      <c r="O591" s="6" t="s">
        <v>34</v>
      </c>
      <c r="P591" s="6">
        <v>159</v>
      </c>
      <c r="Q591" s="6">
        <v>55</v>
      </c>
      <c r="R591" s="26">
        <v>90</v>
      </c>
      <c r="S591" s="26"/>
      <c r="T591" s="26"/>
      <c r="U591" s="6"/>
      <c r="V591" s="26" t="s">
        <v>1760</v>
      </c>
    </row>
    <row r="592" spans="1:22">
      <c r="A592" s="20">
        <v>582</v>
      </c>
      <c r="B592" s="6" t="s">
        <v>1254</v>
      </c>
      <c r="C592" s="6" t="s">
        <v>1761</v>
      </c>
      <c r="D592" s="6"/>
      <c r="E592" s="61" t="s">
        <v>2377</v>
      </c>
      <c r="F592" s="33">
        <v>45343</v>
      </c>
      <c r="G592" s="21">
        <f t="shared" si="28"/>
        <v>2024</v>
      </c>
      <c r="H592" s="22">
        <f t="shared" si="27"/>
        <v>2</v>
      </c>
      <c r="I592" s="23"/>
      <c r="J592" s="20" t="s">
        <v>27</v>
      </c>
      <c r="K592" s="6"/>
      <c r="L592" s="25"/>
      <c r="M592" s="25" t="s">
        <v>1762</v>
      </c>
      <c r="N592" s="6"/>
      <c r="O592" s="6"/>
      <c r="P592" s="6"/>
      <c r="Q592" s="6"/>
      <c r="R592" s="26"/>
      <c r="S592" s="26"/>
      <c r="T592" s="26"/>
      <c r="U592" s="6"/>
      <c r="V592" s="26" t="s">
        <v>604</v>
      </c>
    </row>
    <row r="593" spans="1:22">
      <c r="A593" s="17">
        <v>583</v>
      </c>
      <c r="B593" s="6" t="s">
        <v>1254</v>
      </c>
      <c r="C593" s="6" t="s">
        <v>638</v>
      </c>
      <c r="D593" s="6"/>
      <c r="E593" s="61" t="s">
        <v>40</v>
      </c>
      <c r="F593" s="33">
        <v>18145</v>
      </c>
      <c r="G593" s="21">
        <f t="shared" si="28"/>
        <v>1949</v>
      </c>
      <c r="H593" s="22">
        <f t="shared" si="27"/>
        <v>77</v>
      </c>
      <c r="I593" s="23"/>
      <c r="J593" s="20" t="s">
        <v>27</v>
      </c>
      <c r="K593" s="6"/>
      <c r="L593" s="25"/>
      <c r="M593" s="25" t="s">
        <v>1763</v>
      </c>
      <c r="N593" s="6"/>
      <c r="O593" s="6" t="s">
        <v>143</v>
      </c>
      <c r="P593" s="6">
        <v>150</v>
      </c>
      <c r="Q593" s="6">
        <v>50</v>
      </c>
      <c r="R593" s="26">
        <v>100</v>
      </c>
      <c r="S593" s="26"/>
      <c r="T593" s="26"/>
      <c r="U593" s="6"/>
      <c r="V593" s="26" t="s">
        <v>1764</v>
      </c>
    </row>
    <row r="594" spans="1:22">
      <c r="A594" s="20">
        <v>584</v>
      </c>
      <c r="B594" s="6" t="s">
        <v>1254</v>
      </c>
      <c r="C594" s="6" t="s">
        <v>1765</v>
      </c>
      <c r="D594" s="6"/>
      <c r="E594" s="6" t="s">
        <v>609</v>
      </c>
      <c r="F594" s="33">
        <v>34992</v>
      </c>
      <c r="G594" s="21">
        <f t="shared" si="28"/>
        <v>1995</v>
      </c>
      <c r="H594" s="22">
        <f t="shared" si="27"/>
        <v>31</v>
      </c>
      <c r="I594" s="23"/>
      <c r="J594" s="20" t="s">
        <v>27</v>
      </c>
      <c r="K594" s="6" t="s">
        <v>1256</v>
      </c>
      <c r="L594" s="25"/>
      <c r="M594" s="25" t="s">
        <v>1766</v>
      </c>
      <c r="N594" s="6"/>
      <c r="O594" s="6" t="s">
        <v>146</v>
      </c>
      <c r="P594" s="6">
        <v>152</v>
      </c>
      <c r="Q594" s="6">
        <v>47</v>
      </c>
      <c r="R594" s="26">
        <v>83</v>
      </c>
      <c r="S594" s="26"/>
      <c r="T594" s="26"/>
      <c r="U594" s="6"/>
      <c r="V594" s="6" t="s">
        <v>1767</v>
      </c>
    </row>
    <row r="595" spans="1:22">
      <c r="A595" s="17">
        <v>585</v>
      </c>
      <c r="B595" s="6" t="s">
        <v>1254</v>
      </c>
      <c r="C595" s="6" t="s">
        <v>1768</v>
      </c>
      <c r="D595" s="6"/>
      <c r="E595" s="6" t="s">
        <v>1769</v>
      </c>
      <c r="F595" s="33">
        <v>27061</v>
      </c>
      <c r="G595" s="21">
        <f t="shared" si="28"/>
        <v>1974</v>
      </c>
      <c r="H595" s="22">
        <f t="shared" si="27"/>
        <v>52</v>
      </c>
      <c r="I595" s="23"/>
      <c r="J595" s="20" t="s">
        <v>27</v>
      </c>
      <c r="K595" s="6" t="s">
        <v>1256</v>
      </c>
      <c r="L595" s="25"/>
      <c r="M595" s="25" t="s">
        <v>1770</v>
      </c>
      <c r="N595" s="6"/>
      <c r="O595" s="6" t="s">
        <v>87</v>
      </c>
      <c r="P595" s="6">
        <v>160</v>
      </c>
      <c r="Q595" s="6">
        <v>45</v>
      </c>
      <c r="R595" s="26">
        <v>100</v>
      </c>
      <c r="S595" s="26"/>
      <c r="T595" s="26"/>
      <c r="U595" s="6"/>
      <c r="V595" s="6" t="s">
        <v>1771</v>
      </c>
    </row>
    <row r="596" spans="1:22">
      <c r="A596" s="20">
        <v>586</v>
      </c>
      <c r="B596" s="6" t="s">
        <v>1254</v>
      </c>
      <c r="C596" s="6" t="s">
        <v>1772</v>
      </c>
      <c r="D596" s="6"/>
      <c r="E596" s="6" t="s">
        <v>40</v>
      </c>
      <c r="F596" s="33">
        <v>18373</v>
      </c>
      <c r="G596" s="21">
        <f t="shared" si="28"/>
        <v>1950</v>
      </c>
      <c r="H596" s="22">
        <f t="shared" si="27"/>
        <v>76</v>
      </c>
      <c r="I596" s="23"/>
      <c r="J596" s="20" t="s">
        <v>27</v>
      </c>
      <c r="K596" s="6" t="s">
        <v>1256</v>
      </c>
      <c r="L596" s="25"/>
      <c r="M596" s="25" t="s">
        <v>1773</v>
      </c>
      <c r="N596" s="6"/>
      <c r="O596" s="6" t="s">
        <v>34</v>
      </c>
      <c r="P596" s="6">
        <v>155</v>
      </c>
      <c r="Q596" s="6">
        <v>47</v>
      </c>
      <c r="R596" s="26">
        <v>75</v>
      </c>
      <c r="S596" s="26"/>
      <c r="T596" s="26"/>
      <c r="U596" s="6"/>
      <c r="V596" s="6" t="s">
        <v>1774</v>
      </c>
    </row>
    <row r="597" spans="1:22">
      <c r="A597" s="17">
        <v>587</v>
      </c>
      <c r="B597" s="6" t="s">
        <v>1254</v>
      </c>
      <c r="C597" s="6" t="s">
        <v>1775</v>
      </c>
      <c r="D597" s="6"/>
      <c r="E597" s="61" t="s">
        <v>2374</v>
      </c>
      <c r="F597" s="33">
        <v>26916</v>
      </c>
      <c r="G597" s="21">
        <f t="shared" si="28"/>
        <v>1973</v>
      </c>
      <c r="H597" s="22">
        <f t="shared" si="27"/>
        <v>53</v>
      </c>
      <c r="I597" s="23"/>
      <c r="J597" s="20" t="s">
        <v>27</v>
      </c>
      <c r="K597" s="6" t="s">
        <v>1256</v>
      </c>
      <c r="L597" s="25"/>
      <c r="M597" s="25" t="s">
        <v>1575</v>
      </c>
      <c r="N597" s="6"/>
      <c r="O597" s="6" t="s">
        <v>60</v>
      </c>
      <c r="P597" s="6">
        <v>150</v>
      </c>
      <c r="Q597" s="6">
        <v>47</v>
      </c>
      <c r="R597" s="26">
        <v>100</v>
      </c>
      <c r="S597" s="26"/>
      <c r="T597" s="26"/>
      <c r="U597" s="6"/>
      <c r="V597" s="6" t="s">
        <v>1776</v>
      </c>
    </row>
    <row r="598" spans="1:22">
      <c r="A598" s="20">
        <v>588</v>
      </c>
      <c r="B598" s="6" t="s">
        <v>1254</v>
      </c>
      <c r="C598" s="6" t="s">
        <v>1777</v>
      </c>
      <c r="D598" s="6"/>
      <c r="E598" s="61" t="s">
        <v>2374</v>
      </c>
      <c r="F598" s="33">
        <v>26653</v>
      </c>
      <c r="G598" s="21">
        <f t="shared" si="28"/>
        <v>1972</v>
      </c>
      <c r="H598" s="22">
        <f t="shared" si="27"/>
        <v>54</v>
      </c>
      <c r="I598" s="23"/>
      <c r="J598" s="20" t="s">
        <v>27</v>
      </c>
      <c r="K598" s="6" t="s">
        <v>1256</v>
      </c>
      <c r="L598" s="25"/>
      <c r="M598" s="25" t="s">
        <v>1778</v>
      </c>
      <c r="N598" s="6"/>
      <c r="O598" s="6"/>
      <c r="P598" s="6"/>
      <c r="Q598" s="6"/>
      <c r="R598" s="26"/>
      <c r="S598" s="26"/>
      <c r="T598" s="26"/>
      <c r="U598" s="6"/>
      <c r="V598" s="6" t="s">
        <v>1779</v>
      </c>
    </row>
    <row r="599" spans="1:22">
      <c r="A599" s="17">
        <v>589</v>
      </c>
      <c r="B599" s="6" t="s">
        <v>1254</v>
      </c>
      <c r="C599" s="6" t="s">
        <v>1436</v>
      </c>
      <c r="D599" s="6"/>
      <c r="E599" s="6" t="s">
        <v>40</v>
      </c>
      <c r="F599" s="33">
        <v>17465</v>
      </c>
      <c r="G599" s="21">
        <f t="shared" si="28"/>
        <v>1947</v>
      </c>
      <c r="H599" s="22">
        <f t="shared" si="27"/>
        <v>79</v>
      </c>
      <c r="I599" s="23"/>
      <c r="J599" s="20" t="s">
        <v>27</v>
      </c>
      <c r="K599" s="6" t="s">
        <v>1256</v>
      </c>
      <c r="L599" s="25"/>
      <c r="M599" s="25" t="s">
        <v>1780</v>
      </c>
      <c r="N599" s="6"/>
      <c r="O599" s="6" t="s">
        <v>34</v>
      </c>
      <c r="P599" s="6">
        <v>145</v>
      </c>
      <c r="Q599" s="6">
        <v>43</v>
      </c>
      <c r="R599" s="26">
        <v>78</v>
      </c>
      <c r="S599" s="26"/>
      <c r="T599" s="26"/>
      <c r="U599" s="6"/>
      <c r="V599" s="6" t="s">
        <v>1781</v>
      </c>
    </row>
    <row r="600" spans="1:22">
      <c r="A600" s="20">
        <v>590</v>
      </c>
      <c r="B600" s="6" t="s">
        <v>1254</v>
      </c>
      <c r="C600" s="6" t="s">
        <v>1782</v>
      </c>
      <c r="D600" s="6"/>
      <c r="E600" s="6" t="s">
        <v>40</v>
      </c>
      <c r="F600" s="33">
        <v>19922</v>
      </c>
      <c r="G600" s="21">
        <f t="shared" si="28"/>
        <v>1954</v>
      </c>
      <c r="H600" s="22">
        <f t="shared" si="27"/>
        <v>72</v>
      </c>
      <c r="I600" s="23"/>
      <c r="J600" s="20" t="s">
        <v>27</v>
      </c>
      <c r="K600" s="6" t="s">
        <v>1256</v>
      </c>
      <c r="L600" s="25"/>
      <c r="M600" s="25" t="s">
        <v>1783</v>
      </c>
      <c r="N600" s="6"/>
      <c r="O600" s="6" t="s">
        <v>333</v>
      </c>
      <c r="P600" s="6">
        <v>154</v>
      </c>
      <c r="Q600" s="6">
        <v>52</v>
      </c>
      <c r="R600" s="26">
        <v>110</v>
      </c>
      <c r="S600" s="26"/>
      <c r="T600" s="26"/>
      <c r="U600" s="6"/>
      <c r="V600" s="6" t="s">
        <v>1784</v>
      </c>
    </row>
    <row r="601" spans="1:22">
      <c r="A601" s="17">
        <v>591</v>
      </c>
      <c r="B601" s="6" t="s">
        <v>1254</v>
      </c>
      <c r="C601" s="6" t="s">
        <v>1785</v>
      </c>
      <c r="D601" s="6"/>
      <c r="E601" s="6" t="s">
        <v>609</v>
      </c>
      <c r="F601" s="33">
        <v>33949</v>
      </c>
      <c r="G601" s="21">
        <f t="shared" si="28"/>
        <v>1992</v>
      </c>
      <c r="H601" s="22">
        <f t="shared" si="27"/>
        <v>34</v>
      </c>
      <c r="I601" s="23" t="s">
        <v>27</v>
      </c>
      <c r="J601" s="20"/>
      <c r="K601" s="6"/>
      <c r="L601" s="25"/>
      <c r="M601" s="25" t="s">
        <v>1786</v>
      </c>
      <c r="N601" s="6"/>
      <c r="O601" s="6" t="s">
        <v>87</v>
      </c>
      <c r="P601" s="6">
        <v>168</v>
      </c>
      <c r="Q601" s="6">
        <v>62</v>
      </c>
      <c r="R601" s="26">
        <v>100</v>
      </c>
      <c r="S601" s="26"/>
      <c r="T601" s="26"/>
      <c r="U601" s="6"/>
      <c r="V601" s="6" t="s">
        <v>1787</v>
      </c>
    </row>
    <row r="602" spans="1:22">
      <c r="A602" s="20">
        <v>592</v>
      </c>
      <c r="B602" s="6" t="s">
        <v>1254</v>
      </c>
      <c r="C602" s="6" t="s">
        <v>1788</v>
      </c>
      <c r="D602" s="6"/>
      <c r="E602" s="29" t="s">
        <v>40</v>
      </c>
      <c r="F602" s="29">
        <v>14010</v>
      </c>
      <c r="G602" s="21">
        <v>5</v>
      </c>
      <c r="H602" s="22">
        <v>1938</v>
      </c>
      <c r="I602" s="23"/>
      <c r="J602" s="20" t="s">
        <v>27</v>
      </c>
      <c r="K602" s="6"/>
      <c r="L602" s="25"/>
      <c r="M602" s="25" t="s">
        <v>1789</v>
      </c>
      <c r="N602" s="6"/>
      <c r="O602" s="6" t="s">
        <v>1790</v>
      </c>
      <c r="P602" s="6">
        <v>150</v>
      </c>
      <c r="Q602" s="6">
        <v>42</v>
      </c>
      <c r="R602" s="26">
        <v>110</v>
      </c>
      <c r="S602" s="26"/>
      <c r="T602" s="26"/>
      <c r="U602" s="6"/>
      <c r="V602" s="6" t="s">
        <v>1791</v>
      </c>
    </row>
    <row r="603" spans="1:22">
      <c r="A603" s="17">
        <v>593</v>
      </c>
      <c r="B603" s="6" t="s">
        <v>1254</v>
      </c>
      <c r="C603" s="6" t="s">
        <v>1792</v>
      </c>
      <c r="D603" s="6"/>
      <c r="E603" s="61" t="s">
        <v>2374</v>
      </c>
      <c r="F603" s="33">
        <v>25264</v>
      </c>
      <c r="G603" s="21">
        <f t="shared" ref="G603:G663" si="29">YEAR(F603)</f>
        <v>1969</v>
      </c>
      <c r="H603" s="22">
        <f t="shared" ref="H603:H666" si="30">2026-G603</f>
        <v>57</v>
      </c>
      <c r="I603" s="23"/>
      <c r="J603" s="20" t="s">
        <v>27</v>
      </c>
      <c r="K603" s="6" t="s">
        <v>1256</v>
      </c>
      <c r="L603" s="25"/>
      <c r="M603" s="25" t="s">
        <v>1793</v>
      </c>
      <c r="N603" s="6"/>
      <c r="O603" s="6" t="s">
        <v>634</v>
      </c>
      <c r="P603" s="6">
        <v>155</v>
      </c>
      <c r="Q603" s="6">
        <v>50</v>
      </c>
      <c r="R603" s="26">
        <v>90</v>
      </c>
      <c r="S603" s="26"/>
      <c r="T603" s="26"/>
      <c r="U603" s="6"/>
      <c r="V603" s="6" t="s">
        <v>1794</v>
      </c>
    </row>
    <row r="604" spans="1:22">
      <c r="A604" s="20">
        <v>594</v>
      </c>
      <c r="B604" s="6" t="s">
        <v>1254</v>
      </c>
      <c r="C604" s="6" t="s">
        <v>410</v>
      </c>
      <c r="D604" s="6"/>
      <c r="E604" s="6" t="s">
        <v>40</v>
      </c>
      <c r="F604" s="33">
        <v>20748</v>
      </c>
      <c r="G604" s="21">
        <f t="shared" si="29"/>
        <v>1956</v>
      </c>
      <c r="H604" s="22">
        <f t="shared" si="30"/>
        <v>70</v>
      </c>
      <c r="I604" s="23"/>
      <c r="J604" s="20" t="s">
        <v>27</v>
      </c>
      <c r="K604" s="6" t="s">
        <v>1256</v>
      </c>
      <c r="L604" s="25"/>
      <c r="M604" s="25" t="s">
        <v>1795</v>
      </c>
      <c r="N604" s="6"/>
      <c r="O604" s="6" t="s">
        <v>143</v>
      </c>
      <c r="P604" s="6">
        <v>150</v>
      </c>
      <c r="Q604" s="6">
        <v>48</v>
      </c>
      <c r="R604" s="26">
        <v>70</v>
      </c>
      <c r="S604" s="26"/>
      <c r="T604" s="26"/>
      <c r="U604" s="6"/>
      <c r="V604" s="6" t="s">
        <v>1796</v>
      </c>
    </row>
    <row r="605" spans="1:22">
      <c r="A605" s="17">
        <v>595</v>
      </c>
      <c r="B605" s="6" t="s">
        <v>1254</v>
      </c>
      <c r="C605" s="6" t="s">
        <v>1797</v>
      </c>
      <c r="D605" s="6"/>
      <c r="E605" s="61" t="s">
        <v>2374</v>
      </c>
      <c r="F605" s="33">
        <v>26012</v>
      </c>
      <c r="G605" s="21">
        <f t="shared" si="29"/>
        <v>1971</v>
      </c>
      <c r="H605" s="22">
        <f t="shared" si="30"/>
        <v>55</v>
      </c>
      <c r="I605" s="23"/>
      <c r="J605" s="20" t="s">
        <v>27</v>
      </c>
      <c r="K605" s="6" t="s">
        <v>1256</v>
      </c>
      <c r="L605" s="25"/>
      <c r="M605" s="25" t="s">
        <v>1798</v>
      </c>
      <c r="N605" s="6"/>
      <c r="O605" s="6" t="s">
        <v>833</v>
      </c>
      <c r="P605" s="6">
        <v>150</v>
      </c>
      <c r="Q605" s="6">
        <v>48</v>
      </c>
      <c r="R605" s="26">
        <v>79</v>
      </c>
      <c r="S605" s="26"/>
      <c r="T605" s="26"/>
      <c r="U605" s="6"/>
      <c r="V605" s="6" t="s">
        <v>1799</v>
      </c>
    </row>
    <row r="606" spans="1:22">
      <c r="A606" s="20">
        <v>596</v>
      </c>
      <c r="B606" s="6" t="s">
        <v>1254</v>
      </c>
      <c r="C606" s="6" t="s">
        <v>1695</v>
      </c>
      <c r="D606" s="6"/>
      <c r="E606" s="61" t="s">
        <v>2374</v>
      </c>
      <c r="F606" s="33">
        <v>25111</v>
      </c>
      <c r="G606" s="21">
        <f t="shared" si="29"/>
        <v>1968</v>
      </c>
      <c r="H606" s="22">
        <f t="shared" si="30"/>
        <v>58</v>
      </c>
      <c r="I606" s="23"/>
      <c r="J606" s="20" t="s">
        <v>27</v>
      </c>
      <c r="K606" s="6" t="s">
        <v>1256</v>
      </c>
      <c r="L606" s="25"/>
      <c r="M606" s="25" t="s">
        <v>1800</v>
      </c>
      <c r="N606" s="6"/>
      <c r="O606" s="6" t="s">
        <v>570</v>
      </c>
      <c r="P606" s="6">
        <v>152</v>
      </c>
      <c r="Q606" s="6">
        <v>48</v>
      </c>
      <c r="R606" s="26">
        <v>86</v>
      </c>
      <c r="S606" s="26"/>
      <c r="T606" s="26"/>
      <c r="U606" s="6"/>
      <c r="V606" s="6" t="s">
        <v>604</v>
      </c>
    </row>
    <row r="607" spans="1:22">
      <c r="A607" s="17">
        <v>597</v>
      </c>
      <c r="B607" s="6" t="s">
        <v>1254</v>
      </c>
      <c r="C607" s="6" t="s">
        <v>1125</v>
      </c>
      <c r="D607" s="6"/>
      <c r="E607" s="6" t="s">
        <v>261</v>
      </c>
      <c r="F607" s="33">
        <v>23012</v>
      </c>
      <c r="G607" s="21">
        <f t="shared" si="29"/>
        <v>1963</v>
      </c>
      <c r="H607" s="22">
        <f t="shared" si="30"/>
        <v>63</v>
      </c>
      <c r="I607" s="23"/>
      <c r="J607" s="20" t="s">
        <v>27</v>
      </c>
      <c r="K607" s="6"/>
      <c r="L607" s="25"/>
      <c r="M607" s="25" t="s">
        <v>1801</v>
      </c>
      <c r="N607" s="6"/>
      <c r="O607" s="6" t="s">
        <v>104</v>
      </c>
      <c r="P607" s="6">
        <v>155</v>
      </c>
      <c r="Q607" s="6">
        <v>42</v>
      </c>
      <c r="R607" s="26">
        <v>82</v>
      </c>
      <c r="S607" s="26"/>
      <c r="T607" s="26"/>
      <c r="U607" s="6"/>
      <c r="V607" s="6" t="s">
        <v>1802</v>
      </c>
    </row>
    <row r="608" spans="1:22">
      <c r="A608" s="20">
        <v>598</v>
      </c>
      <c r="B608" s="6" t="s">
        <v>1254</v>
      </c>
      <c r="C608" s="6" t="s">
        <v>242</v>
      </c>
      <c r="D608" s="6"/>
      <c r="E608" s="61" t="s">
        <v>2374</v>
      </c>
      <c r="F608" s="33">
        <v>26299</v>
      </c>
      <c r="G608" s="21">
        <f t="shared" si="29"/>
        <v>1972</v>
      </c>
      <c r="H608" s="22">
        <f t="shared" si="30"/>
        <v>54</v>
      </c>
      <c r="I608" s="23"/>
      <c r="J608" s="20" t="s">
        <v>27</v>
      </c>
      <c r="K608" s="6" t="s">
        <v>1256</v>
      </c>
      <c r="L608" s="25"/>
      <c r="M608" s="25" t="s">
        <v>1803</v>
      </c>
      <c r="N608" s="6"/>
      <c r="O608" s="6" t="s">
        <v>687</v>
      </c>
      <c r="P608" s="6">
        <v>155</v>
      </c>
      <c r="Q608" s="6">
        <v>56</v>
      </c>
      <c r="R608" s="26">
        <v>74</v>
      </c>
      <c r="S608" s="26"/>
      <c r="T608" s="26"/>
      <c r="U608" s="6"/>
      <c r="V608" s="6" t="s">
        <v>1804</v>
      </c>
    </row>
    <row r="609" spans="1:22">
      <c r="A609" s="17">
        <v>599</v>
      </c>
      <c r="B609" s="6" t="s">
        <v>1254</v>
      </c>
      <c r="C609" s="6" t="s">
        <v>1805</v>
      </c>
      <c r="D609" s="6"/>
      <c r="E609" s="61" t="s">
        <v>2374</v>
      </c>
      <c r="F609" s="33">
        <v>26549</v>
      </c>
      <c r="G609" s="21">
        <f t="shared" si="29"/>
        <v>1972</v>
      </c>
      <c r="H609" s="22">
        <f t="shared" si="30"/>
        <v>54</v>
      </c>
      <c r="I609" s="23" t="s">
        <v>27</v>
      </c>
      <c r="J609" s="20"/>
      <c r="K609" s="6" t="s">
        <v>1256</v>
      </c>
      <c r="L609" s="25"/>
      <c r="M609" s="25" t="s">
        <v>1806</v>
      </c>
      <c r="N609" s="6"/>
      <c r="O609" s="6" t="s">
        <v>284</v>
      </c>
      <c r="P609" s="6">
        <v>160</v>
      </c>
      <c r="Q609" s="6">
        <v>52</v>
      </c>
      <c r="R609" s="26">
        <v>79</v>
      </c>
      <c r="S609" s="26"/>
      <c r="T609" s="26"/>
      <c r="U609" s="6"/>
      <c r="V609" s="6" t="s">
        <v>1807</v>
      </c>
    </row>
    <row r="610" spans="1:22">
      <c r="A610" s="20">
        <v>600</v>
      </c>
      <c r="B610" s="6" t="s">
        <v>1254</v>
      </c>
      <c r="C610" s="6" t="s">
        <v>1268</v>
      </c>
      <c r="D610" s="6"/>
      <c r="E610" s="6" t="s">
        <v>40</v>
      </c>
      <c r="F610" s="33">
        <v>23917</v>
      </c>
      <c r="G610" s="21">
        <f t="shared" si="29"/>
        <v>1965</v>
      </c>
      <c r="H610" s="22">
        <f t="shared" si="30"/>
        <v>61</v>
      </c>
      <c r="I610" s="23"/>
      <c r="J610" s="20" t="s">
        <v>27</v>
      </c>
      <c r="K610" s="6" t="s">
        <v>1256</v>
      </c>
      <c r="L610" s="25"/>
      <c r="M610" s="25" t="s">
        <v>1808</v>
      </c>
      <c r="N610" s="6"/>
      <c r="O610" s="6" t="s">
        <v>149</v>
      </c>
      <c r="P610" s="6">
        <v>150</v>
      </c>
      <c r="Q610" s="6">
        <v>50</v>
      </c>
      <c r="R610" s="26">
        <v>70</v>
      </c>
      <c r="S610" s="26"/>
      <c r="T610" s="26"/>
      <c r="U610" s="6"/>
      <c r="V610" s="6" t="s">
        <v>1809</v>
      </c>
    </row>
    <row r="611" spans="1:22">
      <c r="A611" s="17">
        <v>601</v>
      </c>
      <c r="B611" s="6" t="s">
        <v>1254</v>
      </c>
      <c r="C611" s="6" t="s">
        <v>1810</v>
      </c>
      <c r="D611" s="6"/>
      <c r="E611" s="6" t="s">
        <v>40</v>
      </c>
      <c r="F611" s="33">
        <v>22130</v>
      </c>
      <c r="G611" s="21">
        <f t="shared" si="29"/>
        <v>1960</v>
      </c>
      <c r="H611" s="22">
        <f t="shared" si="30"/>
        <v>66</v>
      </c>
      <c r="I611" s="23"/>
      <c r="J611" s="20" t="s">
        <v>27</v>
      </c>
      <c r="K611" s="6" t="s">
        <v>1256</v>
      </c>
      <c r="L611" s="25"/>
      <c r="M611" s="25" t="s">
        <v>1811</v>
      </c>
      <c r="N611" s="6"/>
      <c r="O611" s="6" t="s">
        <v>280</v>
      </c>
      <c r="P611" s="6">
        <v>155</v>
      </c>
      <c r="Q611" s="6">
        <v>34</v>
      </c>
      <c r="R611" s="26">
        <v>77</v>
      </c>
      <c r="S611" s="26"/>
      <c r="T611" s="26"/>
      <c r="U611" s="6"/>
      <c r="V611" s="6" t="s">
        <v>1812</v>
      </c>
    </row>
    <row r="612" spans="1:22">
      <c r="A612" s="20">
        <v>602</v>
      </c>
      <c r="B612" s="6" t="s">
        <v>1254</v>
      </c>
      <c r="C612" s="6" t="s">
        <v>1813</v>
      </c>
      <c r="D612" s="6"/>
      <c r="E612" s="6" t="s">
        <v>40</v>
      </c>
      <c r="F612" s="33">
        <v>24109</v>
      </c>
      <c r="G612" s="21">
        <f t="shared" si="29"/>
        <v>1966</v>
      </c>
      <c r="H612" s="22">
        <f t="shared" si="30"/>
        <v>60</v>
      </c>
      <c r="I612" s="23"/>
      <c r="J612" s="20" t="s">
        <v>27</v>
      </c>
      <c r="K612" s="6" t="s">
        <v>1256</v>
      </c>
      <c r="L612" s="25"/>
      <c r="M612" s="25" t="s">
        <v>1814</v>
      </c>
      <c r="N612" s="6"/>
      <c r="O612" s="6" t="s">
        <v>87</v>
      </c>
      <c r="P612" s="6">
        <v>167</v>
      </c>
      <c r="Q612" s="6">
        <v>59</v>
      </c>
      <c r="R612" s="26">
        <v>71</v>
      </c>
      <c r="S612" s="26"/>
      <c r="T612" s="26"/>
      <c r="U612" s="6"/>
      <c r="V612" s="6" t="s">
        <v>1815</v>
      </c>
    </row>
    <row r="613" spans="1:22">
      <c r="A613" s="17">
        <v>603</v>
      </c>
      <c r="B613" s="6" t="s">
        <v>1254</v>
      </c>
      <c r="C613" s="6" t="s">
        <v>1816</v>
      </c>
      <c r="D613" s="6"/>
      <c r="E613" s="6" t="s">
        <v>40</v>
      </c>
      <c r="F613" s="33">
        <v>16559</v>
      </c>
      <c r="G613" s="21">
        <f t="shared" si="29"/>
        <v>1945</v>
      </c>
      <c r="H613" s="22">
        <f t="shared" si="30"/>
        <v>81</v>
      </c>
      <c r="I613" s="23" t="s">
        <v>27</v>
      </c>
      <c r="J613" s="20"/>
      <c r="K613" s="6" t="s">
        <v>1256</v>
      </c>
      <c r="L613" s="25"/>
      <c r="M613" s="25" t="s">
        <v>1817</v>
      </c>
      <c r="N613" s="6"/>
      <c r="O613" s="6" t="s">
        <v>536</v>
      </c>
      <c r="P613" s="6">
        <v>160</v>
      </c>
      <c r="Q613" s="6">
        <v>48</v>
      </c>
      <c r="R613" s="26">
        <v>77</v>
      </c>
      <c r="S613" s="26"/>
      <c r="T613" s="26"/>
      <c r="U613" s="6"/>
      <c r="V613" s="6" t="s">
        <v>1818</v>
      </c>
    </row>
    <row r="614" spans="1:22">
      <c r="A614" s="20">
        <v>604</v>
      </c>
      <c r="B614" s="6" t="s">
        <v>1254</v>
      </c>
      <c r="C614" s="6" t="s">
        <v>1819</v>
      </c>
      <c r="D614" s="6"/>
      <c r="E614" s="61" t="s">
        <v>2374</v>
      </c>
      <c r="F614" s="33">
        <v>27304</v>
      </c>
      <c r="G614" s="21">
        <f t="shared" si="29"/>
        <v>1974</v>
      </c>
      <c r="H614" s="22">
        <f t="shared" si="30"/>
        <v>52</v>
      </c>
      <c r="I614" s="23"/>
      <c r="J614" s="20" t="s">
        <v>27</v>
      </c>
      <c r="K614" s="6" t="s">
        <v>1256</v>
      </c>
      <c r="L614" s="25"/>
      <c r="M614" s="25" t="s">
        <v>1820</v>
      </c>
      <c r="N614" s="6"/>
      <c r="O614" s="6" t="s">
        <v>263</v>
      </c>
      <c r="P614" s="6">
        <v>155</v>
      </c>
      <c r="Q614" s="6">
        <v>39</v>
      </c>
      <c r="R614" s="26">
        <v>85</v>
      </c>
      <c r="S614" s="26"/>
      <c r="T614" s="26"/>
      <c r="U614" s="6"/>
      <c r="V614" s="6" t="s">
        <v>1821</v>
      </c>
    </row>
    <row r="615" spans="1:22">
      <c r="B615" s="4" t="s">
        <v>1822</v>
      </c>
      <c r="C615" s="4" t="s">
        <v>1823</v>
      </c>
      <c r="E615" s="4" t="s">
        <v>40</v>
      </c>
      <c r="F615" s="44">
        <v>21587</v>
      </c>
      <c r="G615" s="4">
        <f t="shared" si="29"/>
        <v>1959</v>
      </c>
      <c r="H615" s="4">
        <f t="shared" si="30"/>
        <v>67</v>
      </c>
      <c r="J615" s="3" t="s">
        <v>27</v>
      </c>
      <c r="K615" s="4" t="s">
        <v>1131</v>
      </c>
      <c r="M615" s="5" t="s">
        <v>1824</v>
      </c>
      <c r="O615" s="4" t="s">
        <v>288</v>
      </c>
      <c r="P615" s="4">
        <v>150</v>
      </c>
      <c r="Q615" s="4">
        <v>38</v>
      </c>
      <c r="R615" s="4">
        <v>80</v>
      </c>
      <c r="V615" s="6" t="s">
        <v>1825</v>
      </c>
    </row>
    <row r="616" spans="1:22">
      <c r="B616" s="4" t="s">
        <v>1822</v>
      </c>
      <c r="C616" s="4" t="s">
        <v>1826</v>
      </c>
      <c r="E616" s="4" t="s">
        <v>40</v>
      </c>
      <c r="F616" s="4" t="s">
        <v>1827</v>
      </c>
      <c r="G616" s="21" t="str">
        <f t="shared" ref="G616:G617" si="31">RIGHT(F616,4)</f>
        <v>1955</v>
      </c>
      <c r="H616" s="4">
        <f t="shared" si="30"/>
        <v>71</v>
      </c>
      <c r="I616" s="3" t="s">
        <v>27</v>
      </c>
      <c r="K616" s="4" t="s">
        <v>1126</v>
      </c>
      <c r="M616" s="5" t="s">
        <v>1828</v>
      </c>
      <c r="O616" s="4" t="s">
        <v>143</v>
      </c>
      <c r="P616" s="4">
        <v>165</v>
      </c>
      <c r="Q616" s="4">
        <v>50</v>
      </c>
      <c r="R616" s="4">
        <v>87</v>
      </c>
      <c r="V616" s="6" t="s">
        <v>1829</v>
      </c>
    </row>
    <row r="617" spans="1:22">
      <c r="B617" s="4" t="s">
        <v>1822</v>
      </c>
      <c r="C617" s="4" t="s">
        <v>1455</v>
      </c>
      <c r="E617" s="4" t="s">
        <v>40</v>
      </c>
      <c r="F617" s="4" t="s">
        <v>1830</v>
      </c>
      <c r="G617" s="4" t="str">
        <f t="shared" si="31"/>
        <v>1941</v>
      </c>
      <c r="H617" s="4">
        <f t="shared" si="30"/>
        <v>85</v>
      </c>
      <c r="J617" s="3" t="s">
        <v>27</v>
      </c>
      <c r="K617" s="4" t="s">
        <v>1126</v>
      </c>
      <c r="M617" s="5" t="s">
        <v>1831</v>
      </c>
      <c r="O617" s="4" t="s">
        <v>284</v>
      </c>
      <c r="P617" s="4">
        <v>148</v>
      </c>
      <c r="Q617" s="4">
        <v>42</v>
      </c>
      <c r="R617" s="4">
        <v>75</v>
      </c>
      <c r="V617" s="6" t="s">
        <v>1832</v>
      </c>
    </row>
    <row r="618" spans="1:22">
      <c r="B618" s="4" t="s">
        <v>1822</v>
      </c>
      <c r="C618" s="4" t="s">
        <v>1491</v>
      </c>
      <c r="E618" s="4" t="s">
        <v>40</v>
      </c>
      <c r="F618" s="44">
        <v>21467</v>
      </c>
      <c r="G618" s="21">
        <f t="shared" si="29"/>
        <v>1958</v>
      </c>
      <c r="H618" s="4">
        <f t="shared" si="30"/>
        <v>68</v>
      </c>
      <c r="J618" s="3" t="s">
        <v>27</v>
      </c>
      <c r="K618" s="4" t="s">
        <v>1833</v>
      </c>
      <c r="M618" s="5" t="s">
        <v>1834</v>
      </c>
      <c r="O618" s="4" t="s">
        <v>60</v>
      </c>
      <c r="P618" s="4">
        <v>155</v>
      </c>
      <c r="Q618" s="4">
        <v>55</v>
      </c>
      <c r="R618" s="4">
        <v>79</v>
      </c>
      <c r="V618" s="6" t="s">
        <v>1835</v>
      </c>
    </row>
    <row r="619" spans="1:22">
      <c r="B619" s="4" t="s">
        <v>1822</v>
      </c>
      <c r="C619" s="4" t="s">
        <v>1836</v>
      </c>
      <c r="E619" s="4" t="s">
        <v>40</v>
      </c>
      <c r="F619" s="44">
        <v>23054</v>
      </c>
      <c r="G619" s="21">
        <f t="shared" si="29"/>
        <v>1963</v>
      </c>
      <c r="H619" s="4">
        <f t="shared" si="30"/>
        <v>63</v>
      </c>
      <c r="J619" s="3" t="s">
        <v>27</v>
      </c>
      <c r="K619" s="4" t="s">
        <v>1126</v>
      </c>
      <c r="M619" s="5" t="s">
        <v>1837</v>
      </c>
      <c r="O619" s="4" t="s">
        <v>87</v>
      </c>
      <c r="P619" s="4">
        <v>149</v>
      </c>
      <c r="Q619" s="4">
        <v>47</v>
      </c>
      <c r="R619" s="4">
        <v>73</v>
      </c>
      <c r="V619" s="6" t="s">
        <v>1838</v>
      </c>
    </row>
    <row r="620" spans="1:22">
      <c r="B620" s="4" t="s">
        <v>1822</v>
      </c>
      <c r="C620" s="4" t="s">
        <v>1839</v>
      </c>
      <c r="E620" s="4" t="s">
        <v>40</v>
      </c>
      <c r="F620" s="44">
        <v>16355</v>
      </c>
      <c r="G620" s="21">
        <f t="shared" si="29"/>
        <v>1944</v>
      </c>
      <c r="H620" s="4">
        <f t="shared" si="30"/>
        <v>82</v>
      </c>
      <c r="I620" s="3" t="s">
        <v>27</v>
      </c>
      <c r="K620" s="4" t="s">
        <v>1126</v>
      </c>
      <c r="M620" s="5" t="s">
        <v>1840</v>
      </c>
      <c r="O620" s="4" t="s">
        <v>87</v>
      </c>
      <c r="P620" s="4">
        <v>170</v>
      </c>
      <c r="Q620" s="4">
        <v>60</v>
      </c>
      <c r="R620" s="4">
        <v>80</v>
      </c>
      <c r="V620" s="6" t="s">
        <v>1841</v>
      </c>
    </row>
    <row r="621" spans="1:22">
      <c r="B621" s="4" t="s">
        <v>1822</v>
      </c>
      <c r="C621" s="4" t="s">
        <v>1842</v>
      </c>
      <c r="E621" s="64" t="s">
        <v>2374</v>
      </c>
      <c r="F621" s="44">
        <v>25603</v>
      </c>
      <c r="G621" s="21">
        <f t="shared" si="29"/>
        <v>1970</v>
      </c>
      <c r="H621" s="4">
        <f t="shared" si="30"/>
        <v>56</v>
      </c>
      <c r="J621" s="3" t="s">
        <v>27</v>
      </c>
      <c r="K621" s="4" t="s">
        <v>1005</v>
      </c>
      <c r="M621" s="5" t="s">
        <v>1843</v>
      </c>
      <c r="O621" s="4" t="s">
        <v>1844</v>
      </c>
      <c r="P621" s="4">
        <v>162</v>
      </c>
      <c r="Q621" s="4">
        <v>65</v>
      </c>
      <c r="R621" s="4">
        <v>85</v>
      </c>
      <c r="V621" s="6" t="s">
        <v>1845</v>
      </c>
    </row>
    <row r="622" spans="1:22">
      <c r="B622" s="4" t="s">
        <v>1822</v>
      </c>
      <c r="C622" s="4" t="s">
        <v>1846</v>
      </c>
      <c r="E622" s="4" t="s">
        <v>40</v>
      </c>
      <c r="F622" s="44">
        <v>19029</v>
      </c>
      <c r="G622" s="21">
        <f t="shared" si="29"/>
        <v>1952</v>
      </c>
      <c r="H622" s="4">
        <f t="shared" si="30"/>
        <v>74</v>
      </c>
      <c r="J622" s="3" t="s">
        <v>27</v>
      </c>
      <c r="K622" s="4" t="s">
        <v>1126</v>
      </c>
      <c r="M622" s="5" t="s">
        <v>1847</v>
      </c>
      <c r="O622" s="4" t="s">
        <v>113</v>
      </c>
      <c r="P622" s="4">
        <v>155</v>
      </c>
      <c r="Q622" s="4">
        <v>40</v>
      </c>
      <c r="R622" s="4">
        <v>73</v>
      </c>
      <c r="V622" s="6" t="s">
        <v>1848</v>
      </c>
    </row>
    <row r="623" spans="1:22">
      <c r="B623" s="4" t="s">
        <v>1822</v>
      </c>
      <c r="C623" s="4" t="s">
        <v>1849</v>
      </c>
      <c r="E623" s="4" t="s">
        <v>40</v>
      </c>
      <c r="F623" s="44">
        <v>22073</v>
      </c>
      <c r="G623" s="21">
        <f t="shared" si="29"/>
        <v>1960</v>
      </c>
      <c r="H623" s="4">
        <f t="shared" si="30"/>
        <v>66</v>
      </c>
      <c r="I623" s="3" t="s">
        <v>27</v>
      </c>
      <c r="K623" s="4" t="s">
        <v>1126</v>
      </c>
      <c r="M623" s="5" t="s">
        <v>1850</v>
      </c>
      <c r="O623" s="4" t="s">
        <v>34</v>
      </c>
      <c r="P623" s="4">
        <v>171</v>
      </c>
      <c r="Q623" s="4">
        <v>82</v>
      </c>
      <c r="R623" s="4">
        <v>75</v>
      </c>
      <c r="V623" s="6" t="s">
        <v>1851</v>
      </c>
    </row>
    <row r="624" spans="1:22">
      <c r="B624" s="4" t="s">
        <v>1822</v>
      </c>
      <c r="C624" s="4" t="s">
        <v>1852</v>
      </c>
      <c r="E624" s="4" t="s">
        <v>40</v>
      </c>
      <c r="F624" s="44">
        <v>24108</v>
      </c>
      <c r="G624" s="21">
        <f t="shared" si="29"/>
        <v>1966</v>
      </c>
      <c r="H624" s="4">
        <f t="shared" si="30"/>
        <v>60</v>
      </c>
      <c r="J624" s="3" t="s">
        <v>27</v>
      </c>
      <c r="K624" s="4" t="s">
        <v>1005</v>
      </c>
      <c r="M624" s="5" t="s">
        <v>1853</v>
      </c>
      <c r="O624" s="4" t="s">
        <v>34</v>
      </c>
      <c r="P624" s="4">
        <v>150</v>
      </c>
      <c r="Q624" s="4">
        <v>50</v>
      </c>
      <c r="R624" s="4">
        <v>80</v>
      </c>
      <c r="V624" s="6" t="s">
        <v>1854</v>
      </c>
    </row>
    <row r="625" spans="2:22">
      <c r="B625" s="4" t="s">
        <v>1822</v>
      </c>
      <c r="C625" s="4" t="s">
        <v>1855</v>
      </c>
      <c r="E625" s="4" t="s">
        <v>40</v>
      </c>
      <c r="F625" s="44">
        <v>16990</v>
      </c>
      <c r="G625" s="21">
        <f t="shared" si="29"/>
        <v>1946</v>
      </c>
      <c r="H625" s="4">
        <f t="shared" si="30"/>
        <v>80</v>
      </c>
      <c r="J625" s="3" t="s">
        <v>27</v>
      </c>
      <c r="K625" s="4" t="s">
        <v>1126</v>
      </c>
      <c r="M625" s="5" t="s">
        <v>1856</v>
      </c>
      <c r="O625" s="4" t="s">
        <v>570</v>
      </c>
      <c r="P625" s="4">
        <v>155</v>
      </c>
      <c r="Q625" s="4">
        <v>47</v>
      </c>
      <c r="R625" s="4">
        <v>77</v>
      </c>
      <c r="V625" s="6" t="s">
        <v>1857</v>
      </c>
    </row>
    <row r="626" spans="2:22">
      <c r="B626" s="4" t="s">
        <v>1822</v>
      </c>
      <c r="C626" s="4" t="s">
        <v>1858</v>
      </c>
      <c r="E626" s="64" t="s">
        <v>2374</v>
      </c>
      <c r="F626" s="4" t="s">
        <v>1859</v>
      </c>
      <c r="G626" s="21" t="str">
        <f t="shared" ref="G626:G630" si="32">RIGHT(F626,4)</f>
        <v>1985</v>
      </c>
      <c r="H626" s="4">
        <f t="shared" si="30"/>
        <v>41</v>
      </c>
      <c r="I626" s="3" t="s">
        <v>27</v>
      </c>
      <c r="K626" s="4" t="s">
        <v>1230</v>
      </c>
      <c r="M626" s="5" t="s">
        <v>1860</v>
      </c>
      <c r="O626" s="4" t="s">
        <v>87</v>
      </c>
      <c r="P626" s="4">
        <v>169</v>
      </c>
      <c r="Q626" s="4">
        <v>50</v>
      </c>
      <c r="R626" s="4">
        <v>73</v>
      </c>
      <c r="V626" s="6" t="s">
        <v>1861</v>
      </c>
    </row>
    <row r="627" spans="2:22">
      <c r="B627" s="4" t="s">
        <v>1822</v>
      </c>
      <c r="C627" s="4" t="s">
        <v>1057</v>
      </c>
      <c r="E627" s="64" t="s">
        <v>2374</v>
      </c>
      <c r="F627" s="44">
        <v>26946</v>
      </c>
      <c r="G627" s="21">
        <f t="shared" si="29"/>
        <v>1973</v>
      </c>
      <c r="H627" s="4">
        <f t="shared" si="30"/>
        <v>53</v>
      </c>
      <c r="J627" s="3" t="s">
        <v>27</v>
      </c>
      <c r="K627" s="4" t="s">
        <v>1126</v>
      </c>
      <c r="M627" s="5" t="s">
        <v>1862</v>
      </c>
      <c r="O627" s="4" t="s">
        <v>146</v>
      </c>
      <c r="P627" s="4">
        <v>152</v>
      </c>
      <c r="Q627" s="4">
        <v>53</v>
      </c>
      <c r="R627" s="4">
        <v>85</v>
      </c>
      <c r="V627" s="6" t="s">
        <v>1863</v>
      </c>
    </row>
    <row r="628" spans="2:22">
      <c r="B628" s="4" t="s">
        <v>1822</v>
      </c>
      <c r="C628" s="4" t="s">
        <v>1864</v>
      </c>
      <c r="E628" s="64" t="s">
        <v>2374</v>
      </c>
      <c r="F628" s="4" t="s">
        <v>1865</v>
      </c>
      <c r="G628" s="21" t="str">
        <f t="shared" si="32"/>
        <v>1996</v>
      </c>
      <c r="H628" s="4">
        <f t="shared" si="30"/>
        <v>30</v>
      </c>
      <c r="I628" s="3" t="s">
        <v>27</v>
      </c>
      <c r="K628" s="4" t="s">
        <v>1122</v>
      </c>
      <c r="M628" s="5" t="s">
        <v>1866</v>
      </c>
      <c r="O628" s="4" t="s">
        <v>60</v>
      </c>
      <c r="P628" s="4">
        <v>170</v>
      </c>
      <c r="Q628" s="4">
        <v>61</v>
      </c>
      <c r="R628" s="4">
        <v>75</v>
      </c>
      <c r="V628" s="6" t="s">
        <v>1867</v>
      </c>
    </row>
    <row r="629" spans="2:22">
      <c r="B629" s="4" t="s">
        <v>1822</v>
      </c>
      <c r="C629" s="4" t="s">
        <v>1868</v>
      </c>
      <c r="E629" s="64" t="s">
        <v>40</v>
      </c>
      <c r="F629" s="4" t="s">
        <v>1869</v>
      </c>
      <c r="G629" s="21" t="str">
        <f t="shared" si="32"/>
        <v>1958</v>
      </c>
      <c r="H629" s="4">
        <f t="shared" si="30"/>
        <v>68</v>
      </c>
      <c r="J629" s="3" t="s">
        <v>27</v>
      </c>
      <c r="K629" s="4" t="s">
        <v>1126</v>
      </c>
      <c r="M629" s="5" t="s">
        <v>1870</v>
      </c>
      <c r="O629" s="4" t="s">
        <v>146</v>
      </c>
      <c r="P629" s="4">
        <v>141</v>
      </c>
      <c r="Q629" s="4">
        <v>39</v>
      </c>
      <c r="R629" s="4">
        <v>79</v>
      </c>
      <c r="V629" s="6" t="s">
        <v>1871</v>
      </c>
    </row>
    <row r="630" spans="2:22">
      <c r="B630" s="4" t="s">
        <v>1822</v>
      </c>
      <c r="C630" s="4" t="s">
        <v>1872</v>
      </c>
      <c r="E630" s="64" t="s">
        <v>40</v>
      </c>
      <c r="F630" s="4" t="s">
        <v>1873</v>
      </c>
      <c r="G630" s="21" t="str">
        <f t="shared" si="32"/>
        <v>1942</v>
      </c>
      <c r="H630" s="4">
        <f t="shared" si="30"/>
        <v>84</v>
      </c>
      <c r="J630" s="3" t="s">
        <v>27</v>
      </c>
      <c r="K630" s="4" t="s">
        <v>1005</v>
      </c>
      <c r="M630" s="5" t="s">
        <v>1874</v>
      </c>
      <c r="O630" s="4" t="s">
        <v>60</v>
      </c>
      <c r="P630" s="4">
        <v>152</v>
      </c>
      <c r="Q630" s="4">
        <v>47</v>
      </c>
      <c r="R630" s="4">
        <v>89</v>
      </c>
      <c r="V630" s="6" t="s">
        <v>1875</v>
      </c>
    </row>
    <row r="631" spans="2:22">
      <c r="B631" s="4" t="s">
        <v>1822</v>
      </c>
      <c r="C631" s="4" t="s">
        <v>1876</v>
      </c>
      <c r="E631" s="64" t="s">
        <v>40</v>
      </c>
      <c r="F631" s="44">
        <v>21101</v>
      </c>
      <c r="G631" s="21">
        <f t="shared" si="29"/>
        <v>1957</v>
      </c>
      <c r="H631" s="4">
        <f t="shared" si="30"/>
        <v>69</v>
      </c>
      <c r="J631" s="3" t="s">
        <v>27</v>
      </c>
      <c r="K631" s="4" t="s">
        <v>1126</v>
      </c>
      <c r="M631" s="5" t="s">
        <v>1877</v>
      </c>
      <c r="O631" s="4" t="s">
        <v>1146</v>
      </c>
      <c r="P631" s="4">
        <v>157</v>
      </c>
      <c r="Q631" s="4">
        <v>39</v>
      </c>
      <c r="R631" s="4">
        <v>100</v>
      </c>
      <c r="V631" s="6" t="s">
        <v>1878</v>
      </c>
    </row>
    <row r="632" spans="2:22">
      <c r="B632" s="4" t="s">
        <v>1822</v>
      </c>
      <c r="C632" s="4" t="s">
        <v>1879</v>
      </c>
      <c r="E632" s="4" t="s">
        <v>40</v>
      </c>
      <c r="F632" s="44">
        <v>20126</v>
      </c>
      <c r="G632" s="21">
        <f t="shared" si="29"/>
        <v>1955</v>
      </c>
      <c r="H632" s="4">
        <f t="shared" si="30"/>
        <v>71</v>
      </c>
      <c r="J632" s="3" t="s">
        <v>27</v>
      </c>
      <c r="K632" s="4" t="s">
        <v>1126</v>
      </c>
      <c r="M632" s="5" t="s">
        <v>1880</v>
      </c>
      <c r="O632" s="4" t="s">
        <v>42</v>
      </c>
      <c r="P632" s="4">
        <v>155</v>
      </c>
      <c r="Q632" s="4">
        <v>62</v>
      </c>
      <c r="R632" s="4">
        <v>80</v>
      </c>
      <c r="V632" s="6" t="s">
        <v>1881</v>
      </c>
    </row>
    <row r="633" spans="2:22">
      <c r="B633" s="4" t="s">
        <v>1822</v>
      </c>
      <c r="C633" s="4" t="s">
        <v>1882</v>
      </c>
      <c r="E633" s="4" t="s">
        <v>40</v>
      </c>
      <c r="F633" s="4" t="s">
        <v>1883</v>
      </c>
      <c r="G633" s="21" t="str">
        <f t="shared" ref="G633:G634" si="33">RIGHT(F633,4)</f>
        <v>1965</v>
      </c>
      <c r="H633" s="4">
        <f t="shared" si="30"/>
        <v>61</v>
      </c>
      <c r="I633" s="3" t="s">
        <v>27</v>
      </c>
      <c r="K633" s="4" t="s">
        <v>1131</v>
      </c>
      <c r="M633" s="5" t="s">
        <v>1884</v>
      </c>
      <c r="O633" s="4" t="s">
        <v>34</v>
      </c>
      <c r="P633" s="4">
        <v>167</v>
      </c>
      <c r="Q633" s="4">
        <v>67</v>
      </c>
      <c r="R633" s="4">
        <v>80</v>
      </c>
      <c r="V633" s="6" t="s">
        <v>1885</v>
      </c>
    </row>
    <row r="634" spans="2:22">
      <c r="B634" s="4" t="s">
        <v>1822</v>
      </c>
      <c r="C634" s="4" t="s">
        <v>1886</v>
      </c>
      <c r="E634" s="64" t="s">
        <v>2374</v>
      </c>
      <c r="F634" s="4" t="s">
        <v>1887</v>
      </c>
      <c r="G634" s="21" t="str">
        <f t="shared" si="33"/>
        <v>2004</v>
      </c>
      <c r="H634" s="4">
        <f t="shared" si="30"/>
        <v>22</v>
      </c>
      <c r="I634" s="3" t="s">
        <v>27</v>
      </c>
      <c r="K634" s="4" t="s">
        <v>1131</v>
      </c>
      <c r="M634" s="5" t="s">
        <v>1888</v>
      </c>
      <c r="O634" s="4" t="s">
        <v>87</v>
      </c>
      <c r="P634" s="4">
        <v>168</v>
      </c>
      <c r="Q634" s="4">
        <v>58</v>
      </c>
      <c r="R634" s="4">
        <v>77</v>
      </c>
      <c r="V634" s="6" t="s">
        <v>1889</v>
      </c>
    </row>
    <row r="635" spans="2:22">
      <c r="B635" s="4" t="s">
        <v>1822</v>
      </c>
      <c r="C635" s="4" t="s">
        <v>1890</v>
      </c>
      <c r="E635" s="64" t="s">
        <v>2374</v>
      </c>
      <c r="F635" s="44">
        <v>26487</v>
      </c>
      <c r="G635" s="21">
        <f t="shared" si="29"/>
        <v>1972</v>
      </c>
      <c r="H635" s="4">
        <f t="shared" si="30"/>
        <v>54</v>
      </c>
      <c r="J635" s="3" t="s">
        <v>27</v>
      </c>
      <c r="K635" s="4" t="s">
        <v>1126</v>
      </c>
      <c r="M635" s="5" t="s">
        <v>1891</v>
      </c>
      <c r="O635" s="4" t="s">
        <v>1892</v>
      </c>
      <c r="P635" s="4">
        <v>150</v>
      </c>
      <c r="Q635" s="4">
        <v>48</v>
      </c>
      <c r="R635" s="4">
        <v>79</v>
      </c>
      <c r="V635" s="6" t="s">
        <v>1893</v>
      </c>
    </row>
    <row r="636" spans="2:22">
      <c r="B636" s="4" t="s">
        <v>1822</v>
      </c>
      <c r="C636" s="4" t="s">
        <v>1894</v>
      </c>
      <c r="E636" s="4" t="s">
        <v>40</v>
      </c>
      <c r="F636" s="44">
        <v>18179</v>
      </c>
      <c r="G636" s="21">
        <f t="shared" si="29"/>
        <v>1949</v>
      </c>
      <c r="H636" s="4">
        <f t="shared" si="30"/>
        <v>77</v>
      </c>
      <c r="J636" s="3" t="s">
        <v>27</v>
      </c>
      <c r="K636" s="4" t="s">
        <v>1126</v>
      </c>
      <c r="M636" s="5" t="s">
        <v>1895</v>
      </c>
      <c r="O636" s="4" t="s">
        <v>34</v>
      </c>
      <c r="P636" s="4">
        <v>150</v>
      </c>
      <c r="Q636" s="4">
        <v>48</v>
      </c>
      <c r="R636" s="4">
        <v>70</v>
      </c>
      <c r="V636" s="6" t="s">
        <v>1896</v>
      </c>
    </row>
    <row r="637" spans="2:22">
      <c r="B637" s="4" t="s">
        <v>1822</v>
      </c>
      <c r="C637" s="4" t="s">
        <v>1897</v>
      </c>
      <c r="E637" s="4" t="s">
        <v>40</v>
      </c>
      <c r="F637" s="44">
        <v>20372</v>
      </c>
      <c r="G637" s="21">
        <f t="shared" si="29"/>
        <v>1955</v>
      </c>
      <c r="H637" s="4">
        <f t="shared" si="30"/>
        <v>71</v>
      </c>
      <c r="J637" s="3" t="s">
        <v>27</v>
      </c>
      <c r="K637" s="4" t="s">
        <v>1126</v>
      </c>
      <c r="M637" s="5" t="s">
        <v>1898</v>
      </c>
      <c r="O637" s="4" t="s">
        <v>570</v>
      </c>
      <c r="P637" s="4">
        <v>149</v>
      </c>
      <c r="Q637" s="4">
        <v>52</v>
      </c>
      <c r="R637" s="4">
        <v>73</v>
      </c>
      <c r="V637" s="6" t="s">
        <v>1899</v>
      </c>
    </row>
    <row r="638" spans="2:22">
      <c r="B638" s="4" t="s">
        <v>1822</v>
      </c>
      <c r="C638" s="4" t="s">
        <v>1900</v>
      </c>
      <c r="E638" s="4" t="s">
        <v>40</v>
      </c>
      <c r="F638" s="44">
        <v>20090</v>
      </c>
      <c r="G638" s="21">
        <f t="shared" si="29"/>
        <v>1955</v>
      </c>
      <c r="H638" s="4">
        <f t="shared" si="30"/>
        <v>71</v>
      </c>
      <c r="J638" s="3" t="s">
        <v>27</v>
      </c>
      <c r="K638" s="4" t="s">
        <v>1126</v>
      </c>
      <c r="M638" s="5" t="s">
        <v>1901</v>
      </c>
      <c r="O638" s="4" t="s">
        <v>60</v>
      </c>
      <c r="P638" s="4">
        <v>158</v>
      </c>
      <c r="Q638" s="4">
        <v>47</v>
      </c>
      <c r="R638" s="4">
        <v>79</v>
      </c>
      <c r="V638" s="6" t="s">
        <v>1902</v>
      </c>
    </row>
    <row r="639" spans="2:22">
      <c r="B639" s="4" t="s">
        <v>1822</v>
      </c>
      <c r="C639" s="4" t="s">
        <v>1903</v>
      </c>
      <c r="E639" s="4" t="s">
        <v>40</v>
      </c>
      <c r="F639" s="4" t="s">
        <v>1904</v>
      </c>
      <c r="G639" s="21" t="str">
        <f t="shared" ref="G639" si="34">RIGHT(F639,4)</f>
        <v>1956</v>
      </c>
      <c r="H639" s="4">
        <f t="shared" si="30"/>
        <v>70</v>
      </c>
      <c r="J639" s="3" t="s">
        <v>27</v>
      </c>
      <c r="K639" s="4" t="s">
        <v>1014</v>
      </c>
      <c r="M639" s="5" t="s">
        <v>1905</v>
      </c>
      <c r="O639" s="4" t="s">
        <v>1906</v>
      </c>
      <c r="P639" s="4">
        <v>151</v>
      </c>
      <c r="Q639" s="4">
        <v>49</v>
      </c>
      <c r="R639" s="4">
        <v>120</v>
      </c>
      <c r="V639" s="6" t="s">
        <v>1907</v>
      </c>
    </row>
    <row r="640" spans="2:22">
      <c r="B640" s="4" t="s">
        <v>1822</v>
      </c>
      <c r="C640" s="4" t="s">
        <v>1908</v>
      </c>
      <c r="E640" s="4" t="s">
        <v>40</v>
      </c>
      <c r="F640" s="44">
        <v>19725</v>
      </c>
      <c r="G640" s="21">
        <f t="shared" si="29"/>
        <v>1954</v>
      </c>
      <c r="H640" s="4">
        <f t="shared" si="30"/>
        <v>72</v>
      </c>
      <c r="I640" s="3" t="s">
        <v>27</v>
      </c>
      <c r="K640" s="4" t="s">
        <v>1126</v>
      </c>
      <c r="M640" s="5" t="s">
        <v>1909</v>
      </c>
      <c r="O640" s="4" t="s">
        <v>60</v>
      </c>
      <c r="P640" s="4">
        <v>170</v>
      </c>
      <c r="Q640" s="4">
        <v>44</v>
      </c>
      <c r="R640" s="4">
        <v>75</v>
      </c>
      <c r="V640" s="6" t="s">
        <v>1910</v>
      </c>
    </row>
    <row r="641" spans="2:22">
      <c r="B641" s="4" t="s">
        <v>1822</v>
      </c>
      <c r="C641" s="4" t="s">
        <v>1911</v>
      </c>
      <c r="E641" s="4" t="s">
        <v>40</v>
      </c>
      <c r="F641" s="44">
        <v>19825</v>
      </c>
      <c r="G641" s="21">
        <f t="shared" si="29"/>
        <v>1954</v>
      </c>
      <c r="H641" s="4">
        <f t="shared" si="30"/>
        <v>72</v>
      </c>
      <c r="I641" s="3" t="s">
        <v>27</v>
      </c>
      <c r="K641" s="4" t="s">
        <v>1126</v>
      </c>
      <c r="M641" s="5" t="s">
        <v>1912</v>
      </c>
      <c r="O641" s="4" t="s">
        <v>1463</v>
      </c>
      <c r="P641" s="4">
        <v>170</v>
      </c>
      <c r="Q641" s="4">
        <v>70</v>
      </c>
      <c r="R641" s="4">
        <v>80</v>
      </c>
      <c r="V641" s="6" t="s">
        <v>1913</v>
      </c>
    </row>
    <row r="642" spans="2:22">
      <c r="B642" s="4" t="s">
        <v>1822</v>
      </c>
      <c r="C642" s="4" t="s">
        <v>1914</v>
      </c>
      <c r="E642" s="4" t="s">
        <v>40</v>
      </c>
      <c r="F642" s="44">
        <v>19032</v>
      </c>
      <c r="G642" s="21">
        <f t="shared" si="29"/>
        <v>1952</v>
      </c>
      <c r="H642" s="4">
        <f t="shared" si="30"/>
        <v>74</v>
      </c>
      <c r="J642" s="3" t="s">
        <v>27</v>
      </c>
      <c r="K642" s="4" t="s">
        <v>1126</v>
      </c>
      <c r="M642" s="5" t="s">
        <v>1915</v>
      </c>
      <c r="O642" s="4" t="s">
        <v>570</v>
      </c>
      <c r="V642" s="6" t="s">
        <v>1916</v>
      </c>
    </row>
    <row r="643" spans="2:22">
      <c r="B643" s="4" t="s">
        <v>1228</v>
      </c>
      <c r="C643" s="4" t="s">
        <v>1917</v>
      </c>
      <c r="E643" s="65" t="s">
        <v>2376</v>
      </c>
      <c r="F643" s="4" t="s">
        <v>1918</v>
      </c>
      <c r="G643" s="21" t="str">
        <f t="shared" ref="G643:G644" si="35">RIGHT(F643,4)</f>
        <v>2012</v>
      </c>
      <c r="H643" s="4">
        <f t="shared" si="30"/>
        <v>14</v>
      </c>
      <c r="J643" s="3" t="s">
        <v>27</v>
      </c>
      <c r="K643" s="4" t="s">
        <v>1919</v>
      </c>
      <c r="M643" s="5" t="s">
        <v>1920</v>
      </c>
      <c r="P643" s="4">
        <v>150</v>
      </c>
      <c r="Q643" s="4">
        <v>37</v>
      </c>
      <c r="V643" s="6" t="s">
        <v>604</v>
      </c>
    </row>
    <row r="644" spans="2:22">
      <c r="B644" s="4" t="s">
        <v>1228</v>
      </c>
      <c r="C644" s="4" t="s">
        <v>1921</v>
      </c>
      <c r="E644" s="4" t="s">
        <v>609</v>
      </c>
      <c r="F644" s="4" t="s">
        <v>1922</v>
      </c>
      <c r="G644" s="21" t="str">
        <f t="shared" si="35"/>
        <v>2011</v>
      </c>
      <c r="H644" s="4">
        <f t="shared" si="30"/>
        <v>15</v>
      </c>
      <c r="J644" s="3" t="s">
        <v>27</v>
      </c>
      <c r="K644" s="4" t="s">
        <v>1919</v>
      </c>
      <c r="M644" s="5" t="s">
        <v>1923</v>
      </c>
      <c r="P644" s="4">
        <v>150</v>
      </c>
      <c r="Q644" s="4">
        <v>35</v>
      </c>
      <c r="V644" s="6" t="s">
        <v>1924</v>
      </c>
    </row>
    <row r="645" spans="2:22">
      <c r="B645" s="4" t="s">
        <v>1228</v>
      </c>
      <c r="C645" s="4" t="s">
        <v>1925</v>
      </c>
      <c r="E645" s="64" t="s">
        <v>2374</v>
      </c>
      <c r="F645" s="44">
        <v>26665</v>
      </c>
      <c r="G645" s="21">
        <f t="shared" si="29"/>
        <v>1973</v>
      </c>
      <c r="H645" s="4">
        <f t="shared" si="30"/>
        <v>53</v>
      </c>
      <c r="J645" s="3" t="s">
        <v>27</v>
      </c>
      <c r="K645" s="4" t="s">
        <v>1230</v>
      </c>
      <c r="M645" s="5" t="s">
        <v>1926</v>
      </c>
      <c r="O645" s="4" t="s">
        <v>634</v>
      </c>
      <c r="P645" s="4">
        <v>145</v>
      </c>
      <c r="Q645" s="4">
        <v>41</v>
      </c>
      <c r="R645" s="4">
        <v>80</v>
      </c>
      <c r="V645" s="6" t="s">
        <v>1927</v>
      </c>
    </row>
    <row r="646" spans="2:22">
      <c r="B646" s="4" t="s">
        <v>1228</v>
      </c>
      <c r="C646" s="4" t="s">
        <v>851</v>
      </c>
      <c r="E646" s="64" t="s">
        <v>2374</v>
      </c>
      <c r="F646" s="44">
        <v>25569</v>
      </c>
      <c r="G646" s="21">
        <f t="shared" si="29"/>
        <v>1970</v>
      </c>
      <c r="H646" s="4">
        <f t="shared" si="30"/>
        <v>56</v>
      </c>
      <c r="J646" s="3" t="s">
        <v>27</v>
      </c>
      <c r="K646" s="4" t="s">
        <v>1230</v>
      </c>
      <c r="M646" s="5" t="s">
        <v>1928</v>
      </c>
      <c r="O646" s="4" t="s">
        <v>930</v>
      </c>
      <c r="P646" s="4">
        <v>154</v>
      </c>
      <c r="Q646" s="4">
        <v>63</v>
      </c>
      <c r="R646" s="4">
        <v>80</v>
      </c>
      <c r="V646" s="6" t="s">
        <v>1929</v>
      </c>
    </row>
    <row r="647" spans="2:22">
      <c r="B647" s="4" t="s">
        <v>1228</v>
      </c>
      <c r="C647" s="4" t="s">
        <v>1930</v>
      </c>
      <c r="E647" s="4" t="s">
        <v>40</v>
      </c>
      <c r="F647" s="4" t="s">
        <v>1931</v>
      </c>
      <c r="G647" s="21" t="str">
        <f t="shared" ref="G647" si="36">RIGHT(F647,4)</f>
        <v>1947</v>
      </c>
      <c r="H647" s="4">
        <f t="shared" si="30"/>
        <v>79</v>
      </c>
      <c r="J647" s="3" t="s">
        <v>27</v>
      </c>
      <c r="K647" s="4" t="s">
        <v>1932</v>
      </c>
      <c r="M647" s="5" t="s">
        <v>1933</v>
      </c>
      <c r="O647" s="4" t="s">
        <v>149</v>
      </c>
      <c r="P647" s="4">
        <v>144</v>
      </c>
      <c r="Q647" s="4">
        <v>30</v>
      </c>
      <c r="R647" s="4">
        <v>79</v>
      </c>
      <c r="V647" s="6" t="s">
        <v>1934</v>
      </c>
    </row>
    <row r="648" spans="2:22">
      <c r="B648" s="4" t="s">
        <v>1228</v>
      </c>
      <c r="C648" s="4" t="s">
        <v>1935</v>
      </c>
      <c r="E648" s="4" t="s">
        <v>40</v>
      </c>
      <c r="F648" s="44">
        <v>23469</v>
      </c>
      <c r="G648" s="21">
        <f t="shared" si="29"/>
        <v>1964</v>
      </c>
      <c r="H648" s="4">
        <f t="shared" si="30"/>
        <v>62</v>
      </c>
      <c r="J648" s="3" t="s">
        <v>27</v>
      </c>
      <c r="K648" s="4" t="s">
        <v>1932</v>
      </c>
      <c r="M648" s="5" t="s">
        <v>1936</v>
      </c>
      <c r="O648" s="4" t="s">
        <v>1146</v>
      </c>
      <c r="P648" s="4">
        <v>150</v>
      </c>
      <c r="Q648" s="4">
        <v>45</v>
      </c>
      <c r="R648" s="4">
        <v>85</v>
      </c>
      <c r="V648" s="6" t="s">
        <v>1937</v>
      </c>
    </row>
    <row r="649" spans="2:22">
      <c r="B649" s="4" t="s">
        <v>1228</v>
      </c>
      <c r="C649" s="4" t="s">
        <v>1938</v>
      </c>
      <c r="E649" s="4" t="s">
        <v>261</v>
      </c>
      <c r="F649" s="44">
        <v>31817</v>
      </c>
      <c r="G649" s="21">
        <f t="shared" si="29"/>
        <v>1987</v>
      </c>
      <c r="H649" s="4">
        <f t="shared" si="30"/>
        <v>39</v>
      </c>
      <c r="J649" s="3" t="s">
        <v>27</v>
      </c>
      <c r="K649" s="4" t="s">
        <v>1230</v>
      </c>
      <c r="M649" s="5" t="s">
        <v>1939</v>
      </c>
      <c r="O649" s="4" t="s">
        <v>113</v>
      </c>
      <c r="P649" s="4">
        <v>156</v>
      </c>
      <c r="Q649" s="4">
        <v>68</v>
      </c>
      <c r="R649" s="4">
        <v>74</v>
      </c>
      <c r="V649" s="6" t="s">
        <v>1940</v>
      </c>
    </row>
    <row r="650" spans="2:22">
      <c r="B650" s="4" t="s">
        <v>1228</v>
      </c>
      <c r="C650" s="4" t="s">
        <v>1941</v>
      </c>
      <c r="E650" s="4" t="s">
        <v>40</v>
      </c>
      <c r="F650" s="4" t="s">
        <v>1942</v>
      </c>
      <c r="G650" s="21" t="str">
        <f t="shared" ref="G650" si="37">RIGHT(F650,4)</f>
        <v>1954</v>
      </c>
      <c r="H650" s="4">
        <f t="shared" si="30"/>
        <v>72</v>
      </c>
      <c r="J650" s="3" t="s">
        <v>27</v>
      </c>
      <c r="K650" s="4" t="s">
        <v>1230</v>
      </c>
      <c r="M650" s="5" t="s">
        <v>1943</v>
      </c>
      <c r="O650" s="4" t="s">
        <v>200</v>
      </c>
      <c r="P650" s="4">
        <v>147</v>
      </c>
      <c r="Q650" s="4">
        <v>66</v>
      </c>
      <c r="R650" s="4">
        <v>80</v>
      </c>
      <c r="V650" s="6" t="s">
        <v>1944</v>
      </c>
    </row>
    <row r="651" spans="2:22">
      <c r="B651" s="4" t="s">
        <v>1228</v>
      </c>
      <c r="C651" s="4" t="s">
        <v>1945</v>
      </c>
      <c r="E651" s="4" t="s">
        <v>40</v>
      </c>
      <c r="F651" s="44">
        <v>24443</v>
      </c>
      <c r="G651" s="21">
        <f t="shared" si="29"/>
        <v>1966</v>
      </c>
      <c r="H651" s="4">
        <f t="shared" si="30"/>
        <v>60</v>
      </c>
      <c r="J651" s="3" t="s">
        <v>27</v>
      </c>
      <c r="K651" s="4" t="s">
        <v>1230</v>
      </c>
      <c r="M651" s="5" t="s">
        <v>1946</v>
      </c>
      <c r="O651" s="4" t="s">
        <v>634</v>
      </c>
      <c r="P651" s="4">
        <v>140</v>
      </c>
      <c r="Q651" s="4">
        <v>35</v>
      </c>
      <c r="R651" s="4">
        <v>63</v>
      </c>
      <c r="V651" s="6" t="s">
        <v>1947</v>
      </c>
    </row>
    <row r="652" spans="2:22">
      <c r="B652" s="4" t="s">
        <v>1228</v>
      </c>
      <c r="C652" s="4" t="s">
        <v>98</v>
      </c>
      <c r="E652" s="4" t="s">
        <v>40</v>
      </c>
      <c r="F652" s="44">
        <v>24108</v>
      </c>
      <c r="G652" s="21">
        <f t="shared" si="29"/>
        <v>1966</v>
      </c>
      <c r="H652" s="4">
        <f t="shared" si="30"/>
        <v>60</v>
      </c>
      <c r="I652" s="3" t="s">
        <v>27</v>
      </c>
      <c r="K652" s="4" t="s">
        <v>1230</v>
      </c>
      <c r="M652" s="5" t="s">
        <v>1948</v>
      </c>
      <c r="O652" s="4" t="s">
        <v>113</v>
      </c>
      <c r="P652" s="4">
        <v>157</v>
      </c>
      <c r="Q652" s="4">
        <v>57</v>
      </c>
      <c r="R652" s="4">
        <v>80</v>
      </c>
      <c r="V652" s="6" t="s">
        <v>1949</v>
      </c>
    </row>
    <row r="653" spans="2:22">
      <c r="B653" s="4" t="s">
        <v>1228</v>
      </c>
      <c r="C653" s="4" t="s">
        <v>1950</v>
      </c>
      <c r="E653" s="4" t="s">
        <v>40</v>
      </c>
      <c r="F653" s="44">
        <v>23377</v>
      </c>
      <c r="G653" s="21">
        <f t="shared" si="29"/>
        <v>1964</v>
      </c>
      <c r="H653" s="4">
        <f t="shared" si="30"/>
        <v>62</v>
      </c>
      <c r="I653" s="3" t="s">
        <v>27</v>
      </c>
      <c r="K653" s="4" t="s">
        <v>1230</v>
      </c>
      <c r="M653" s="5" t="s">
        <v>1951</v>
      </c>
      <c r="O653" s="4" t="s">
        <v>34</v>
      </c>
      <c r="P653" s="4">
        <v>152</v>
      </c>
      <c r="Q653" s="4">
        <v>51.3</v>
      </c>
      <c r="R653" s="4">
        <v>80</v>
      </c>
      <c r="V653" s="6" t="s">
        <v>1952</v>
      </c>
    </row>
    <row r="654" spans="2:22">
      <c r="B654" s="4" t="s">
        <v>1228</v>
      </c>
      <c r="C654" s="4" t="s">
        <v>1953</v>
      </c>
      <c r="E654" s="4" t="s">
        <v>40</v>
      </c>
      <c r="F654" s="44">
        <v>17299</v>
      </c>
      <c r="G654" s="21">
        <f t="shared" si="29"/>
        <v>1947</v>
      </c>
      <c r="H654" s="4">
        <f t="shared" si="30"/>
        <v>79</v>
      </c>
      <c r="J654" s="3" t="s">
        <v>27</v>
      </c>
      <c r="K654" s="4" t="s">
        <v>1230</v>
      </c>
      <c r="M654" s="5" t="s">
        <v>1954</v>
      </c>
      <c r="O654" s="4" t="s">
        <v>263</v>
      </c>
      <c r="P654" s="4">
        <v>145</v>
      </c>
      <c r="Q654" s="4">
        <v>43</v>
      </c>
      <c r="R654" s="4">
        <v>83</v>
      </c>
      <c r="V654" s="6" t="s">
        <v>1955</v>
      </c>
    </row>
    <row r="655" spans="2:22">
      <c r="B655" s="4" t="s">
        <v>1228</v>
      </c>
      <c r="C655" s="4" t="s">
        <v>1501</v>
      </c>
      <c r="E655" s="4" t="s">
        <v>40</v>
      </c>
      <c r="F655" s="44">
        <v>16803</v>
      </c>
      <c r="G655" s="21">
        <f t="shared" si="29"/>
        <v>1946</v>
      </c>
      <c r="H655" s="4">
        <f t="shared" si="30"/>
        <v>80</v>
      </c>
      <c r="J655" s="3" t="s">
        <v>27</v>
      </c>
      <c r="K655" s="4" t="s">
        <v>1230</v>
      </c>
      <c r="M655" s="5" t="s">
        <v>1956</v>
      </c>
      <c r="O655" s="4" t="s">
        <v>113</v>
      </c>
      <c r="P655" s="4">
        <v>148</v>
      </c>
      <c r="Q655" s="4">
        <v>47.6</v>
      </c>
      <c r="R655" s="4">
        <v>85</v>
      </c>
      <c r="V655" s="6" t="s">
        <v>1957</v>
      </c>
    </row>
    <row r="656" spans="2:22">
      <c r="B656" s="4" t="s">
        <v>1228</v>
      </c>
      <c r="C656" s="4" t="s">
        <v>1958</v>
      </c>
      <c r="E656" s="4" t="s">
        <v>40</v>
      </c>
      <c r="F656" s="44">
        <v>20821</v>
      </c>
      <c r="G656" s="21">
        <f t="shared" si="29"/>
        <v>1957</v>
      </c>
      <c r="H656" s="4">
        <f t="shared" si="30"/>
        <v>69</v>
      </c>
      <c r="J656" s="3" t="s">
        <v>27</v>
      </c>
      <c r="K656" s="4" t="s">
        <v>1230</v>
      </c>
      <c r="M656" s="5" t="s">
        <v>1959</v>
      </c>
      <c r="O656" s="4" t="s">
        <v>113</v>
      </c>
      <c r="P656" s="4">
        <v>148</v>
      </c>
      <c r="Q656" s="4">
        <v>39.299999999999997</v>
      </c>
      <c r="R656" s="4">
        <v>80</v>
      </c>
      <c r="V656" s="6" t="s">
        <v>1960</v>
      </c>
    </row>
    <row r="657" spans="2:23">
      <c r="B657" s="4" t="s">
        <v>1228</v>
      </c>
      <c r="C657" s="4" t="s">
        <v>488</v>
      </c>
      <c r="E657" s="4" t="s">
        <v>261</v>
      </c>
      <c r="F657" s="44">
        <v>19786</v>
      </c>
      <c r="G657" s="21">
        <f t="shared" si="29"/>
        <v>1954</v>
      </c>
      <c r="H657" s="4">
        <f t="shared" si="30"/>
        <v>72</v>
      </c>
      <c r="J657" s="3" t="s">
        <v>27</v>
      </c>
      <c r="K657" s="4" t="s">
        <v>1919</v>
      </c>
      <c r="M657" s="5" t="s">
        <v>1961</v>
      </c>
      <c r="O657" s="4" t="s">
        <v>78</v>
      </c>
      <c r="P657" s="4">
        <v>140</v>
      </c>
      <c r="Q657" s="4">
        <v>47</v>
      </c>
      <c r="R657" s="4">
        <v>83</v>
      </c>
      <c r="V657" s="6" t="s">
        <v>1962</v>
      </c>
    </row>
    <row r="658" spans="2:23">
      <c r="B658" s="4" t="s">
        <v>1228</v>
      </c>
      <c r="C658" s="4" t="s">
        <v>1963</v>
      </c>
      <c r="E658" s="4" t="s">
        <v>40</v>
      </c>
      <c r="F658" s="44">
        <v>23682</v>
      </c>
      <c r="G658" s="21">
        <f t="shared" si="29"/>
        <v>1964</v>
      </c>
      <c r="H658" s="4">
        <f t="shared" si="30"/>
        <v>62</v>
      </c>
      <c r="I658" s="3" t="s">
        <v>27</v>
      </c>
      <c r="K658" s="4" t="s">
        <v>1919</v>
      </c>
      <c r="M658" s="5" t="s">
        <v>1964</v>
      </c>
      <c r="O658" s="4" t="s">
        <v>1965</v>
      </c>
      <c r="P658" s="4">
        <v>165</v>
      </c>
      <c r="Q658" s="4">
        <v>70</v>
      </c>
      <c r="R658" s="4">
        <v>90</v>
      </c>
      <c r="V658" s="6" t="s">
        <v>1966</v>
      </c>
    </row>
    <row r="659" spans="2:23">
      <c r="B659" s="4" t="s">
        <v>1228</v>
      </c>
      <c r="C659" s="4" t="s">
        <v>1967</v>
      </c>
      <c r="E659" s="4" t="s">
        <v>40</v>
      </c>
      <c r="F659" s="44">
        <v>22679</v>
      </c>
      <c r="G659" s="21">
        <f t="shared" si="29"/>
        <v>1962</v>
      </c>
      <c r="H659" s="4">
        <f t="shared" si="30"/>
        <v>64</v>
      </c>
      <c r="I659" s="3" t="s">
        <v>27</v>
      </c>
      <c r="K659" s="4" t="s">
        <v>1919</v>
      </c>
      <c r="M659" s="5" t="s">
        <v>1968</v>
      </c>
      <c r="O659" s="4" t="s">
        <v>146</v>
      </c>
      <c r="P659" s="4">
        <v>170</v>
      </c>
      <c r="Q659" s="4">
        <v>56</v>
      </c>
      <c r="R659" s="4">
        <v>65</v>
      </c>
      <c r="V659" s="6" t="s">
        <v>1969</v>
      </c>
    </row>
    <row r="660" spans="2:23">
      <c r="B660" s="4" t="s">
        <v>1228</v>
      </c>
      <c r="C660" s="4" t="s">
        <v>1970</v>
      </c>
      <c r="E660" s="64" t="s">
        <v>2374</v>
      </c>
      <c r="F660" s="44">
        <v>26155</v>
      </c>
      <c r="G660" s="21">
        <f t="shared" si="29"/>
        <v>1971</v>
      </c>
      <c r="H660" s="4">
        <f t="shared" si="30"/>
        <v>55</v>
      </c>
      <c r="I660" s="3" t="s">
        <v>27</v>
      </c>
      <c r="K660" s="4" t="s">
        <v>1932</v>
      </c>
      <c r="M660" s="5" t="s">
        <v>1971</v>
      </c>
      <c r="O660" s="4" t="s">
        <v>34</v>
      </c>
      <c r="P660" s="4">
        <v>155</v>
      </c>
      <c r="Q660" s="4">
        <v>61</v>
      </c>
      <c r="R660" s="4">
        <v>70</v>
      </c>
      <c r="V660" s="6" t="s">
        <v>1972</v>
      </c>
    </row>
    <row r="661" spans="2:23">
      <c r="B661" s="4" t="s">
        <v>1228</v>
      </c>
      <c r="C661" s="4" t="s">
        <v>1973</v>
      </c>
      <c r="E661" s="4" t="s">
        <v>40</v>
      </c>
      <c r="F661" s="44">
        <v>20090</v>
      </c>
      <c r="G661" s="21">
        <f t="shared" si="29"/>
        <v>1955</v>
      </c>
      <c r="H661" s="4">
        <f t="shared" si="30"/>
        <v>71</v>
      </c>
      <c r="J661" s="3" t="s">
        <v>27</v>
      </c>
      <c r="K661" s="4" t="s">
        <v>1919</v>
      </c>
      <c r="M661" s="5" t="s">
        <v>1974</v>
      </c>
      <c r="O661" s="4" t="s">
        <v>1975</v>
      </c>
      <c r="P661" s="4">
        <v>151</v>
      </c>
      <c r="Q661" s="4">
        <v>45</v>
      </c>
      <c r="R661" s="4">
        <v>85</v>
      </c>
      <c r="V661" s="6" t="s">
        <v>1976</v>
      </c>
    </row>
    <row r="662" spans="2:23">
      <c r="B662" s="4" t="s">
        <v>1228</v>
      </c>
      <c r="C662" s="4" t="s">
        <v>1977</v>
      </c>
      <c r="E662" s="64" t="s">
        <v>40</v>
      </c>
      <c r="F662" s="44">
        <v>21551</v>
      </c>
      <c r="G662" s="21">
        <f t="shared" si="29"/>
        <v>1959</v>
      </c>
      <c r="H662" s="4">
        <f t="shared" si="30"/>
        <v>67</v>
      </c>
      <c r="I662" s="3" t="s">
        <v>27</v>
      </c>
      <c r="K662" s="4" t="s">
        <v>1919</v>
      </c>
      <c r="M662" s="5" t="s">
        <v>1978</v>
      </c>
      <c r="O662" s="4" t="s">
        <v>1979</v>
      </c>
      <c r="P662" s="4">
        <v>159</v>
      </c>
      <c r="Q662" s="4">
        <v>64</v>
      </c>
      <c r="R662" s="4">
        <v>95</v>
      </c>
      <c r="V662" s="6" t="s">
        <v>1980</v>
      </c>
    </row>
    <row r="663" spans="2:23">
      <c r="B663" s="4" t="s">
        <v>1228</v>
      </c>
      <c r="C663" s="4" t="s">
        <v>1981</v>
      </c>
      <c r="E663" s="64" t="s">
        <v>40</v>
      </c>
      <c r="F663" s="44">
        <v>14895</v>
      </c>
      <c r="G663" s="21">
        <f t="shared" si="29"/>
        <v>1940</v>
      </c>
      <c r="H663" s="4">
        <f t="shared" si="30"/>
        <v>86</v>
      </c>
      <c r="I663" s="3" t="s">
        <v>27</v>
      </c>
      <c r="K663" s="4" t="s">
        <v>1919</v>
      </c>
      <c r="M663" s="5" t="s">
        <v>1982</v>
      </c>
      <c r="O663" s="4" t="s">
        <v>1983</v>
      </c>
      <c r="P663" s="4">
        <v>156</v>
      </c>
      <c r="Q663" s="4">
        <v>50</v>
      </c>
      <c r="R663" s="4">
        <v>90</v>
      </c>
      <c r="V663" s="6" t="s">
        <v>1984</v>
      </c>
    </row>
    <row r="664" spans="2:23">
      <c r="B664" s="4" t="s">
        <v>1228</v>
      </c>
      <c r="C664" s="4" t="s">
        <v>1985</v>
      </c>
      <c r="E664" s="4" t="s">
        <v>609</v>
      </c>
      <c r="F664" s="4" t="s">
        <v>1986</v>
      </c>
      <c r="G664" s="21" t="str">
        <f t="shared" ref="G664:G670" si="38">RIGHT(F664,4)</f>
        <v>1959</v>
      </c>
      <c r="H664" s="4">
        <f t="shared" si="30"/>
        <v>67</v>
      </c>
      <c r="J664" s="3" t="s">
        <v>27</v>
      </c>
      <c r="K664" s="4" t="s">
        <v>1919</v>
      </c>
      <c r="M664" s="5" t="s">
        <v>1987</v>
      </c>
      <c r="O664" s="4" t="s">
        <v>1988</v>
      </c>
      <c r="P664" s="4">
        <v>140</v>
      </c>
      <c r="Q664" s="4">
        <v>46</v>
      </c>
      <c r="R664" s="4">
        <v>74</v>
      </c>
      <c r="V664" s="6" t="s">
        <v>1989</v>
      </c>
    </row>
    <row r="665" spans="2:23">
      <c r="B665" s="4" t="s">
        <v>1228</v>
      </c>
      <c r="C665" s="4" t="s">
        <v>1990</v>
      </c>
      <c r="E665" s="4" t="s">
        <v>40</v>
      </c>
      <c r="F665" s="4" t="s">
        <v>1991</v>
      </c>
      <c r="G665" s="21" t="str">
        <f t="shared" si="38"/>
        <v>1964</v>
      </c>
      <c r="H665" s="4">
        <f t="shared" si="30"/>
        <v>62</v>
      </c>
      <c r="I665" s="3" t="s">
        <v>27</v>
      </c>
      <c r="K665" s="4" t="s">
        <v>1919</v>
      </c>
      <c r="M665" s="5" t="s">
        <v>1992</v>
      </c>
      <c r="O665" s="4" t="s">
        <v>104</v>
      </c>
      <c r="P665" s="4">
        <v>159</v>
      </c>
      <c r="Q665" s="4">
        <v>48</v>
      </c>
      <c r="R665" s="4">
        <v>82</v>
      </c>
      <c r="V665" s="6" t="s">
        <v>1993</v>
      </c>
    </row>
    <row r="666" spans="2:23">
      <c r="B666" s="4" t="s">
        <v>1228</v>
      </c>
      <c r="C666" s="4" t="s">
        <v>1994</v>
      </c>
      <c r="E666" s="64" t="s">
        <v>2374</v>
      </c>
      <c r="F666" s="4" t="s">
        <v>1995</v>
      </c>
      <c r="G666" s="21" t="str">
        <f t="shared" si="38"/>
        <v>2000</v>
      </c>
      <c r="H666" s="4">
        <f t="shared" si="30"/>
        <v>26</v>
      </c>
      <c r="I666" s="3" t="s">
        <v>27</v>
      </c>
      <c r="K666" s="4" t="s">
        <v>1919</v>
      </c>
      <c r="M666" s="5" t="s">
        <v>1996</v>
      </c>
      <c r="O666" s="4" t="s">
        <v>504</v>
      </c>
      <c r="P666" s="4">
        <v>170</v>
      </c>
      <c r="Q666" s="4">
        <v>42</v>
      </c>
      <c r="R666" s="4">
        <v>80</v>
      </c>
      <c r="V666" s="6" t="s">
        <v>1997</v>
      </c>
    </row>
    <row r="667" spans="2:23">
      <c r="B667" s="4" t="s">
        <v>1228</v>
      </c>
      <c r="C667" s="4" t="s">
        <v>1998</v>
      </c>
      <c r="E667" s="64" t="s">
        <v>2374</v>
      </c>
      <c r="F667" s="4" t="s">
        <v>1999</v>
      </c>
      <c r="G667" s="21" t="str">
        <f t="shared" si="38"/>
        <v>1996</v>
      </c>
      <c r="H667" s="4">
        <f t="shared" ref="H667:H730" si="39">2026-G667</f>
        <v>30</v>
      </c>
      <c r="J667" s="3" t="s">
        <v>27</v>
      </c>
      <c r="K667" s="4" t="s">
        <v>1919</v>
      </c>
      <c r="M667" s="5" t="s">
        <v>2000</v>
      </c>
      <c r="O667" s="4" t="s">
        <v>2001</v>
      </c>
      <c r="P667" s="4">
        <v>164</v>
      </c>
      <c r="Q667" s="4">
        <v>49</v>
      </c>
      <c r="R667" s="4">
        <v>95</v>
      </c>
      <c r="V667" s="6" t="s">
        <v>2002</v>
      </c>
    </row>
    <row r="668" spans="2:23">
      <c r="B668" s="4" t="s">
        <v>1228</v>
      </c>
      <c r="C668" s="4" t="s">
        <v>2003</v>
      </c>
      <c r="E668" s="64" t="s">
        <v>2374</v>
      </c>
      <c r="F668" s="4" t="s">
        <v>2004</v>
      </c>
      <c r="G668" s="21" t="str">
        <f t="shared" si="38"/>
        <v>2004</v>
      </c>
      <c r="H668" s="4">
        <f t="shared" si="39"/>
        <v>22</v>
      </c>
      <c r="J668" s="3" t="s">
        <v>27</v>
      </c>
      <c r="K668" s="4" t="s">
        <v>1919</v>
      </c>
      <c r="M668" s="5" t="s">
        <v>2005</v>
      </c>
      <c r="O668" s="4" t="s">
        <v>113</v>
      </c>
      <c r="P668" s="4">
        <v>160</v>
      </c>
      <c r="Q668" s="4">
        <v>52</v>
      </c>
      <c r="R668" s="4">
        <v>80</v>
      </c>
      <c r="V668" s="6" t="s">
        <v>2006</v>
      </c>
    </row>
    <row r="669" spans="2:23">
      <c r="B669" s="4" t="s">
        <v>1228</v>
      </c>
      <c r="C669" s="4" t="s">
        <v>2007</v>
      </c>
      <c r="E669" s="64" t="s">
        <v>2374</v>
      </c>
      <c r="F669" s="4" t="s">
        <v>2008</v>
      </c>
      <c r="G669" s="21" t="str">
        <f t="shared" si="38"/>
        <v>2004</v>
      </c>
      <c r="H669" s="4">
        <f t="shared" si="39"/>
        <v>22</v>
      </c>
      <c r="J669" s="3" t="s">
        <v>27</v>
      </c>
      <c r="K669" s="4" t="s">
        <v>1919</v>
      </c>
      <c r="M669" s="5" t="s">
        <v>2009</v>
      </c>
      <c r="O669" s="4" t="s">
        <v>2010</v>
      </c>
      <c r="P669" s="4">
        <v>165</v>
      </c>
      <c r="Q669" s="4">
        <v>95</v>
      </c>
      <c r="R669" s="4">
        <v>80</v>
      </c>
      <c r="V669" s="6" t="s">
        <v>2011</v>
      </c>
    </row>
    <row r="670" spans="2:23">
      <c r="B670" s="4" t="s">
        <v>1228</v>
      </c>
      <c r="C670" s="4" t="s">
        <v>2012</v>
      </c>
      <c r="E670" s="64" t="s">
        <v>2374</v>
      </c>
      <c r="F670" s="4" t="s">
        <v>2013</v>
      </c>
      <c r="G670" s="21" t="str">
        <f t="shared" si="38"/>
        <v>2004</v>
      </c>
      <c r="H670" s="4">
        <f t="shared" si="39"/>
        <v>22</v>
      </c>
      <c r="I670" s="3" t="s">
        <v>27</v>
      </c>
      <c r="K670" s="4" t="s">
        <v>1919</v>
      </c>
      <c r="M670" s="5" t="s">
        <v>2014</v>
      </c>
      <c r="O670" s="4" t="s">
        <v>2015</v>
      </c>
      <c r="P670" s="4">
        <v>152</v>
      </c>
      <c r="Q670" s="4">
        <v>46</v>
      </c>
      <c r="R670" s="4">
        <v>80</v>
      </c>
      <c r="V670" s="6" t="s">
        <v>2016</v>
      </c>
    </row>
    <row r="671" spans="2:23">
      <c r="B671" s="4" t="s">
        <v>1228</v>
      </c>
      <c r="C671" s="4" t="s">
        <v>2017</v>
      </c>
      <c r="E671" s="64" t="s">
        <v>2374</v>
      </c>
      <c r="F671" s="44">
        <v>35491</v>
      </c>
      <c r="G671" s="21">
        <f t="shared" ref="G671:G730" si="40">YEAR(F671)</f>
        <v>1997</v>
      </c>
      <c r="H671" s="4">
        <f t="shared" si="39"/>
        <v>29</v>
      </c>
      <c r="J671" s="3" t="s">
        <v>27</v>
      </c>
      <c r="K671" s="4" t="s">
        <v>1919</v>
      </c>
      <c r="M671" s="5" t="s">
        <v>2018</v>
      </c>
      <c r="O671" s="4" t="s">
        <v>504</v>
      </c>
      <c r="P671" s="4">
        <v>148</v>
      </c>
      <c r="Q671" s="4">
        <v>41</v>
      </c>
      <c r="R671" s="4">
        <v>80</v>
      </c>
      <c r="V671" s="6" t="s">
        <v>2019</v>
      </c>
    </row>
    <row r="672" spans="2:23">
      <c r="B672" s="4" t="s">
        <v>1228</v>
      </c>
      <c r="C672" s="4" t="s">
        <v>2020</v>
      </c>
      <c r="E672" s="64" t="s">
        <v>40</v>
      </c>
      <c r="F672" s="44">
        <v>19819</v>
      </c>
      <c r="G672" s="21">
        <f t="shared" si="40"/>
        <v>1954</v>
      </c>
      <c r="H672" s="4">
        <f t="shared" si="39"/>
        <v>72</v>
      </c>
      <c r="J672" s="3" t="s">
        <v>27</v>
      </c>
      <c r="K672" s="4" t="s">
        <v>1919</v>
      </c>
      <c r="M672" s="5" t="s">
        <v>2021</v>
      </c>
      <c r="O672" s="4" t="s">
        <v>370</v>
      </c>
      <c r="P672" s="4">
        <v>154</v>
      </c>
      <c r="Q672" s="4">
        <v>64</v>
      </c>
      <c r="R672" s="4">
        <v>77</v>
      </c>
      <c r="V672" s="6" t="s">
        <v>2022</v>
      </c>
      <c r="W672" s="4" t="s">
        <v>2023</v>
      </c>
    </row>
    <row r="673" spans="2:22">
      <c r="B673" s="4" t="s">
        <v>1228</v>
      </c>
      <c r="C673" s="4" t="s">
        <v>2024</v>
      </c>
      <c r="E673" s="64" t="s">
        <v>40</v>
      </c>
      <c r="F673" s="44">
        <v>19277</v>
      </c>
      <c r="G673" s="21">
        <f t="shared" si="40"/>
        <v>1952</v>
      </c>
      <c r="H673" s="4">
        <f t="shared" si="39"/>
        <v>74</v>
      </c>
      <c r="I673" s="3" t="s">
        <v>27</v>
      </c>
      <c r="K673" s="4" t="s">
        <v>1919</v>
      </c>
      <c r="M673" s="5" t="s">
        <v>2025</v>
      </c>
      <c r="O673" s="4" t="s">
        <v>2026</v>
      </c>
      <c r="P673" s="4">
        <v>157</v>
      </c>
      <c r="Q673" s="4">
        <v>59</v>
      </c>
      <c r="R673" s="4">
        <v>89</v>
      </c>
      <c r="V673" s="6" t="s">
        <v>2027</v>
      </c>
    </row>
    <row r="674" spans="2:22">
      <c r="B674" s="4" t="s">
        <v>1228</v>
      </c>
      <c r="C674" s="4" t="s">
        <v>2028</v>
      </c>
      <c r="F674" s="4" t="s">
        <v>2029</v>
      </c>
      <c r="G674" s="21" t="str">
        <f t="shared" ref="G674:G677" si="41">RIGHT(F674,4)</f>
        <v>1964</v>
      </c>
      <c r="H674" s="4">
        <f t="shared" si="39"/>
        <v>62</v>
      </c>
      <c r="J674" s="3" t="s">
        <v>27</v>
      </c>
      <c r="K674" s="4" t="s">
        <v>1932</v>
      </c>
      <c r="M674" s="5" t="s">
        <v>2030</v>
      </c>
      <c r="O674" s="4" t="s">
        <v>389</v>
      </c>
      <c r="P674" s="4">
        <v>145</v>
      </c>
      <c r="Q674" s="4">
        <v>50</v>
      </c>
      <c r="R674" s="4">
        <v>80</v>
      </c>
      <c r="V674" s="6" t="s">
        <v>2031</v>
      </c>
    </row>
    <row r="675" spans="2:22">
      <c r="B675" s="4" t="s">
        <v>1228</v>
      </c>
      <c r="C675" s="4" t="s">
        <v>2032</v>
      </c>
      <c r="E675" s="64" t="s">
        <v>40</v>
      </c>
      <c r="F675" s="44">
        <v>18994</v>
      </c>
      <c r="G675" s="21">
        <f t="shared" si="40"/>
        <v>1952</v>
      </c>
      <c r="H675" s="4">
        <f t="shared" si="39"/>
        <v>74</v>
      </c>
      <c r="I675" s="3" t="s">
        <v>27</v>
      </c>
      <c r="K675" s="4" t="s">
        <v>1932</v>
      </c>
      <c r="M675" s="5" t="s">
        <v>2033</v>
      </c>
      <c r="O675" s="4" t="s">
        <v>149</v>
      </c>
      <c r="P675" s="4">
        <v>147</v>
      </c>
      <c r="Q675" s="4">
        <v>52</v>
      </c>
      <c r="R675" s="4">
        <v>70</v>
      </c>
      <c r="V675" s="6" t="s">
        <v>2034</v>
      </c>
    </row>
    <row r="676" spans="2:22">
      <c r="B676" s="4" t="s">
        <v>1228</v>
      </c>
      <c r="C676" s="4" t="s">
        <v>2035</v>
      </c>
      <c r="E676" s="64" t="s">
        <v>40</v>
      </c>
      <c r="F676" s="4" t="s">
        <v>2036</v>
      </c>
      <c r="G676" s="21" t="str">
        <f t="shared" si="41"/>
        <v>1942</v>
      </c>
      <c r="H676" s="4">
        <f t="shared" si="39"/>
        <v>84</v>
      </c>
      <c r="I676" s="3" t="s">
        <v>27</v>
      </c>
      <c r="K676" s="4" t="s">
        <v>1919</v>
      </c>
      <c r="M676" s="5" t="s">
        <v>2037</v>
      </c>
      <c r="O676" s="4" t="s">
        <v>280</v>
      </c>
      <c r="P676" s="4">
        <v>161</v>
      </c>
      <c r="Q676" s="4">
        <v>44</v>
      </c>
      <c r="R676" s="4">
        <v>70</v>
      </c>
      <c r="V676" s="6" t="s">
        <v>2038</v>
      </c>
    </row>
    <row r="677" spans="2:22">
      <c r="B677" s="4" t="s">
        <v>1228</v>
      </c>
      <c r="C677" s="4" t="s">
        <v>2039</v>
      </c>
      <c r="E677" s="64" t="s">
        <v>40</v>
      </c>
      <c r="F677" s="4" t="s">
        <v>2040</v>
      </c>
      <c r="G677" s="21" t="str">
        <f t="shared" si="41"/>
        <v>1962</v>
      </c>
      <c r="H677" s="4">
        <f t="shared" si="39"/>
        <v>64</v>
      </c>
      <c r="J677" s="3" t="s">
        <v>27</v>
      </c>
      <c r="K677" s="4" t="s">
        <v>1919</v>
      </c>
      <c r="M677" s="5" t="s">
        <v>2041</v>
      </c>
      <c r="O677" s="4" t="s">
        <v>2042</v>
      </c>
      <c r="P677" s="4">
        <v>144</v>
      </c>
      <c r="Q677" s="4">
        <v>39</v>
      </c>
      <c r="R677" s="4">
        <v>120</v>
      </c>
      <c r="V677" s="6" t="s">
        <v>2043</v>
      </c>
    </row>
    <row r="678" spans="2:22">
      <c r="B678" s="4" t="s">
        <v>1228</v>
      </c>
      <c r="C678" s="4" t="s">
        <v>2044</v>
      </c>
      <c r="E678" s="64" t="s">
        <v>40</v>
      </c>
      <c r="F678" s="44">
        <v>15707</v>
      </c>
      <c r="G678" s="21">
        <f t="shared" si="40"/>
        <v>1943</v>
      </c>
      <c r="H678" s="4">
        <f t="shared" si="39"/>
        <v>83</v>
      </c>
      <c r="J678" s="3" t="s">
        <v>27</v>
      </c>
      <c r="K678" s="4" t="s">
        <v>1919</v>
      </c>
      <c r="M678" s="5" t="s">
        <v>2045</v>
      </c>
      <c r="O678" s="4" t="s">
        <v>42</v>
      </c>
      <c r="P678" s="4">
        <v>144</v>
      </c>
      <c r="Q678" s="4">
        <v>39</v>
      </c>
      <c r="R678" s="4">
        <v>80</v>
      </c>
      <c r="V678" s="6" t="s">
        <v>2046</v>
      </c>
    </row>
    <row r="679" spans="2:22">
      <c r="B679" s="4" t="s">
        <v>1228</v>
      </c>
      <c r="C679" s="4" t="s">
        <v>2047</v>
      </c>
      <c r="E679" s="64" t="s">
        <v>40</v>
      </c>
      <c r="F679" s="44">
        <v>23743</v>
      </c>
      <c r="G679" s="21">
        <f t="shared" si="40"/>
        <v>1965</v>
      </c>
      <c r="H679" s="4">
        <f t="shared" si="39"/>
        <v>61</v>
      </c>
      <c r="I679" s="3" t="s">
        <v>27</v>
      </c>
      <c r="K679" s="4" t="s">
        <v>1919</v>
      </c>
      <c r="M679" s="5" t="s">
        <v>2048</v>
      </c>
      <c r="O679" s="4" t="s">
        <v>2049</v>
      </c>
      <c r="P679" s="4">
        <v>165</v>
      </c>
      <c r="Q679" s="4">
        <v>64</v>
      </c>
      <c r="R679" s="4">
        <v>79</v>
      </c>
      <c r="V679" s="6" t="s">
        <v>2050</v>
      </c>
    </row>
    <row r="680" spans="2:22">
      <c r="B680" s="4" t="s">
        <v>1228</v>
      </c>
      <c r="C680" s="4" t="s">
        <v>2051</v>
      </c>
      <c r="E680" s="64" t="s">
        <v>40</v>
      </c>
      <c r="F680" s="44">
        <v>18481</v>
      </c>
      <c r="G680" s="21">
        <f t="shared" si="40"/>
        <v>1950</v>
      </c>
      <c r="H680" s="4">
        <f t="shared" si="39"/>
        <v>76</v>
      </c>
      <c r="I680" s="3" t="s">
        <v>27</v>
      </c>
      <c r="K680" s="4" t="s">
        <v>1919</v>
      </c>
      <c r="M680" s="5" t="s">
        <v>2052</v>
      </c>
      <c r="O680" s="4" t="s">
        <v>263</v>
      </c>
      <c r="P680" s="4">
        <v>165</v>
      </c>
      <c r="Q680" s="4">
        <v>61</v>
      </c>
      <c r="R680" s="4">
        <v>80</v>
      </c>
      <c r="V680" s="6" t="s">
        <v>2053</v>
      </c>
    </row>
    <row r="681" spans="2:22">
      <c r="B681" s="4" t="s">
        <v>1228</v>
      </c>
      <c r="C681" s="4" t="s">
        <v>1203</v>
      </c>
      <c r="E681" s="64" t="s">
        <v>40</v>
      </c>
      <c r="F681" s="44">
        <v>22199</v>
      </c>
      <c r="G681" s="21">
        <f t="shared" si="40"/>
        <v>1960</v>
      </c>
      <c r="H681" s="4">
        <f t="shared" si="39"/>
        <v>66</v>
      </c>
      <c r="J681" s="3" t="s">
        <v>27</v>
      </c>
      <c r="K681" s="4" t="s">
        <v>1230</v>
      </c>
      <c r="M681" s="5" t="s">
        <v>2054</v>
      </c>
      <c r="O681" s="4" t="s">
        <v>263</v>
      </c>
      <c r="P681" s="4">
        <v>147</v>
      </c>
      <c r="Q681" s="4">
        <v>44</v>
      </c>
      <c r="R681" s="4">
        <v>62</v>
      </c>
      <c r="V681" s="6" t="s">
        <v>2055</v>
      </c>
    </row>
    <row r="682" spans="2:22">
      <c r="B682" s="4" t="s">
        <v>1228</v>
      </c>
      <c r="C682" s="4" t="s">
        <v>361</v>
      </c>
      <c r="E682" s="64" t="s">
        <v>40</v>
      </c>
      <c r="F682" s="44">
        <v>16408</v>
      </c>
      <c r="G682" s="21">
        <f t="shared" si="40"/>
        <v>1944</v>
      </c>
      <c r="H682" s="4">
        <f t="shared" si="39"/>
        <v>82</v>
      </c>
      <c r="J682" s="3" t="s">
        <v>27</v>
      </c>
      <c r="K682" s="4" t="s">
        <v>1230</v>
      </c>
      <c r="M682" s="5" t="s">
        <v>2056</v>
      </c>
      <c r="O682" s="4" t="s">
        <v>2057</v>
      </c>
      <c r="P682" s="4">
        <v>141</v>
      </c>
      <c r="Q682" s="4">
        <v>47</v>
      </c>
      <c r="R682" s="4">
        <v>105</v>
      </c>
      <c r="V682" s="6" t="s">
        <v>2058</v>
      </c>
    </row>
    <row r="683" spans="2:22">
      <c r="B683" s="4" t="s">
        <v>1228</v>
      </c>
      <c r="C683" s="4" t="s">
        <v>2059</v>
      </c>
      <c r="E683" s="64" t="s">
        <v>40</v>
      </c>
      <c r="F683" s="44">
        <v>22647</v>
      </c>
      <c r="G683" s="21">
        <f t="shared" si="40"/>
        <v>1962</v>
      </c>
      <c r="H683" s="4">
        <f t="shared" si="39"/>
        <v>64</v>
      </c>
      <c r="I683" s="3" t="s">
        <v>27</v>
      </c>
      <c r="K683" s="4" t="s">
        <v>1230</v>
      </c>
      <c r="M683" s="5" t="s">
        <v>2060</v>
      </c>
      <c r="O683" s="4" t="s">
        <v>284</v>
      </c>
      <c r="P683" s="4">
        <v>162</v>
      </c>
      <c r="Q683" s="4">
        <v>60.4</v>
      </c>
      <c r="R683" s="4">
        <v>80</v>
      </c>
      <c r="V683" s="6" t="s">
        <v>2061</v>
      </c>
    </row>
    <row r="684" spans="2:22">
      <c r="B684" s="4" t="s">
        <v>1228</v>
      </c>
      <c r="C684" s="4" t="s">
        <v>2062</v>
      </c>
      <c r="E684" s="64" t="s">
        <v>2374</v>
      </c>
      <c r="F684" s="44">
        <v>25236</v>
      </c>
      <c r="G684" s="21">
        <f t="shared" si="40"/>
        <v>1969</v>
      </c>
      <c r="H684" s="4">
        <f t="shared" si="39"/>
        <v>57</v>
      </c>
      <c r="J684" s="3" t="s">
        <v>27</v>
      </c>
      <c r="K684" s="4" t="s">
        <v>1230</v>
      </c>
      <c r="M684" s="5" t="s">
        <v>2063</v>
      </c>
      <c r="O684" s="4" t="s">
        <v>2064</v>
      </c>
      <c r="P684" s="4">
        <v>155</v>
      </c>
      <c r="Q684" s="4">
        <v>56.5</v>
      </c>
      <c r="R684" s="4">
        <v>80</v>
      </c>
      <c r="V684" s="6" t="s">
        <v>2065</v>
      </c>
    </row>
    <row r="685" spans="2:22">
      <c r="B685" s="4" t="s">
        <v>1228</v>
      </c>
      <c r="C685" s="4" t="s">
        <v>624</v>
      </c>
      <c r="E685" s="64" t="s">
        <v>2374</v>
      </c>
      <c r="F685" s="44">
        <v>25943</v>
      </c>
      <c r="G685" s="21">
        <f t="shared" si="40"/>
        <v>1971</v>
      </c>
      <c r="H685" s="4">
        <f t="shared" si="39"/>
        <v>55</v>
      </c>
      <c r="J685" s="3" t="s">
        <v>27</v>
      </c>
      <c r="K685" s="4" t="s">
        <v>1230</v>
      </c>
      <c r="M685" s="5" t="s">
        <v>2066</v>
      </c>
      <c r="O685" s="4" t="s">
        <v>2067</v>
      </c>
      <c r="P685" s="4">
        <v>145</v>
      </c>
      <c r="Q685" s="4">
        <v>51.5</v>
      </c>
      <c r="R685" s="4">
        <v>81</v>
      </c>
      <c r="V685" s="6" t="s">
        <v>2068</v>
      </c>
    </row>
    <row r="686" spans="2:22">
      <c r="B686" s="4" t="s">
        <v>1228</v>
      </c>
      <c r="C686" s="4" t="s">
        <v>708</v>
      </c>
      <c r="E686" s="64" t="s">
        <v>2374</v>
      </c>
      <c r="F686" s="4" t="s">
        <v>2069</v>
      </c>
      <c r="G686" s="21" t="str">
        <f>RIGHT(F686,4)</f>
        <v>1969</v>
      </c>
      <c r="H686" s="4">
        <f t="shared" si="39"/>
        <v>57</v>
      </c>
      <c r="I686" s="3" t="s">
        <v>27</v>
      </c>
      <c r="K686" s="4" t="s">
        <v>1230</v>
      </c>
      <c r="M686" s="5" t="s">
        <v>2070</v>
      </c>
      <c r="O686" s="4" t="s">
        <v>687</v>
      </c>
      <c r="P686" s="4">
        <v>160</v>
      </c>
      <c r="Q686" s="4">
        <v>54</v>
      </c>
      <c r="R686" s="4">
        <v>100</v>
      </c>
      <c r="V686" s="6" t="s">
        <v>2071</v>
      </c>
    </row>
    <row r="687" spans="2:22">
      <c r="B687" s="4" t="s">
        <v>1228</v>
      </c>
      <c r="C687" s="4" t="s">
        <v>2072</v>
      </c>
      <c r="E687" s="64" t="s">
        <v>40</v>
      </c>
      <c r="F687" s="44">
        <v>18994</v>
      </c>
      <c r="G687" s="21">
        <f t="shared" si="40"/>
        <v>1952</v>
      </c>
      <c r="H687" s="4">
        <f t="shared" si="39"/>
        <v>74</v>
      </c>
      <c r="J687" s="3" t="s">
        <v>27</v>
      </c>
      <c r="K687" s="4" t="s">
        <v>1230</v>
      </c>
      <c r="M687" s="5" t="s">
        <v>2073</v>
      </c>
      <c r="O687" s="4" t="s">
        <v>113</v>
      </c>
      <c r="P687" s="4">
        <v>139</v>
      </c>
      <c r="Q687" s="4">
        <v>28.5</v>
      </c>
      <c r="R687" s="4">
        <v>80</v>
      </c>
      <c r="V687" s="6" t="s">
        <v>2074</v>
      </c>
    </row>
    <row r="688" spans="2:22">
      <c r="B688" s="4" t="s">
        <v>1228</v>
      </c>
      <c r="C688" s="4" t="s">
        <v>2075</v>
      </c>
      <c r="E688" s="64" t="s">
        <v>2374</v>
      </c>
      <c r="F688" s="44">
        <v>25359</v>
      </c>
      <c r="G688" s="21">
        <f t="shared" si="40"/>
        <v>1969</v>
      </c>
      <c r="H688" s="4">
        <f t="shared" si="39"/>
        <v>57</v>
      </c>
      <c r="J688" s="3" t="s">
        <v>27</v>
      </c>
      <c r="K688" s="4" t="s">
        <v>1230</v>
      </c>
      <c r="M688" s="5" t="s">
        <v>2076</v>
      </c>
      <c r="O688" s="4" t="s">
        <v>60</v>
      </c>
      <c r="P688" s="4">
        <v>147</v>
      </c>
      <c r="Q688" s="4">
        <v>42</v>
      </c>
      <c r="R688" s="4">
        <v>66</v>
      </c>
      <c r="V688" s="6" t="s">
        <v>2077</v>
      </c>
    </row>
    <row r="689" spans="2:22">
      <c r="B689" s="4" t="s">
        <v>1228</v>
      </c>
      <c r="C689" s="4" t="s">
        <v>2078</v>
      </c>
      <c r="E689" s="64" t="s">
        <v>2374</v>
      </c>
      <c r="F689" s="44">
        <v>28339</v>
      </c>
      <c r="G689" s="21">
        <f t="shared" si="40"/>
        <v>1977</v>
      </c>
      <c r="H689" s="4">
        <f t="shared" si="39"/>
        <v>49</v>
      </c>
      <c r="J689" s="3" t="s">
        <v>27</v>
      </c>
      <c r="K689" s="4" t="s">
        <v>1230</v>
      </c>
      <c r="M689" s="5" t="s">
        <v>2079</v>
      </c>
      <c r="O689" s="4" t="s">
        <v>2080</v>
      </c>
      <c r="P689" s="4">
        <v>152</v>
      </c>
      <c r="Q689" s="4">
        <v>49</v>
      </c>
      <c r="R689" s="4">
        <v>91</v>
      </c>
      <c r="V689" s="6" t="s">
        <v>2081</v>
      </c>
    </row>
    <row r="690" spans="2:22">
      <c r="B690" s="4" t="s">
        <v>1228</v>
      </c>
      <c r="C690" s="4" t="s">
        <v>2082</v>
      </c>
      <c r="E690" s="64" t="s">
        <v>2374</v>
      </c>
      <c r="F690" s="44">
        <v>30020</v>
      </c>
      <c r="G690" s="21">
        <f t="shared" si="40"/>
        <v>1982</v>
      </c>
      <c r="H690" s="4">
        <f t="shared" si="39"/>
        <v>44</v>
      </c>
      <c r="I690" s="3" t="s">
        <v>27</v>
      </c>
      <c r="K690" s="4" t="s">
        <v>1230</v>
      </c>
      <c r="M690" s="5" t="s">
        <v>2083</v>
      </c>
      <c r="O690" s="4" t="s">
        <v>113</v>
      </c>
      <c r="P690" s="4">
        <v>174</v>
      </c>
      <c r="Q690" s="4">
        <v>59</v>
      </c>
      <c r="R690" s="4">
        <v>78</v>
      </c>
      <c r="V690" s="6" t="s">
        <v>2084</v>
      </c>
    </row>
    <row r="691" spans="2:22">
      <c r="B691" s="4" t="s">
        <v>1228</v>
      </c>
      <c r="C691" s="4" t="s">
        <v>2085</v>
      </c>
      <c r="E691" s="64" t="s">
        <v>40</v>
      </c>
      <c r="F691" s="44">
        <v>16803</v>
      </c>
      <c r="G691" s="21">
        <f t="shared" si="40"/>
        <v>1946</v>
      </c>
      <c r="H691" s="4">
        <f t="shared" si="39"/>
        <v>80</v>
      </c>
      <c r="J691" s="3" t="s">
        <v>27</v>
      </c>
      <c r="K691" s="4" t="s">
        <v>1230</v>
      </c>
      <c r="M691" s="5" t="s">
        <v>2086</v>
      </c>
      <c r="O691" s="4" t="s">
        <v>2087</v>
      </c>
      <c r="P691" s="4">
        <v>141</v>
      </c>
      <c r="Q691" s="4">
        <v>37.700000000000003</v>
      </c>
      <c r="R691" s="4">
        <v>72</v>
      </c>
      <c r="V691" s="6" t="s">
        <v>2088</v>
      </c>
    </row>
    <row r="692" spans="2:22">
      <c r="B692" s="4" t="s">
        <v>1228</v>
      </c>
      <c r="C692" s="4" t="s">
        <v>2089</v>
      </c>
      <c r="E692" s="64" t="s">
        <v>40</v>
      </c>
      <c r="F692" s="44">
        <v>20180</v>
      </c>
      <c r="G692" s="21">
        <f t="shared" si="40"/>
        <v>1955</v>
      </c>
      <c r="H692" s="4">
        <f t="shared" si="39"/>
        <v>71</v>
      </c>
      <c r="I692" s="3" t="s">
        <v>27</v>
      </c>
      <c r="K692" s="4" t="s">
        <v>1230</v>
      </c>
      <c r="M692" s="5" t="s">
        <v>2090</v>
      </c>
      <c r="O692" s="4" t="s">
        <v>724</v>
      </c>
      <c r="P692" s="4">
        <v>151</v>
      </c>
      <c r="Q692" s="4">
        <v>41</v>
      </c>
      <c r="R692" s="4">
        <v>78</v>
      </c>
      <c r="V692" s="6" t="s">
        <v>2091</v>
      </c>
    </row>
    <row r="693" spans="2:22">
      <c r="B693" s="4" t="s">
        <v>1228</v>
      </c>
      <c r="C693" s="4" t="s">
        <v>105</v>
      </c>
      <c r="E693" s="64" t="s">
        <v>40</v>
      </c>
      <c r="F693" s="44">
        <v>17899</v>
      </c>
      <c r="G693" s="21">
        <f t="shared" si="40"/>
        <v>1949</v>
      </c>
      <c r="H693" s="4">
        <f t="shared" si="39"/>
        <v>77</v>
      </c>
      <c r="J693" s="3" t="s">
        <v>27</v>
      </c>
      <c r="K693" s="4" t="s">
        <v>1230</v>
      </c>
      <c r="M693" s="5" t="s">
        <v>2092</v>
      </c>
      <c r="O693" s="4" t="s">
        <v>724</v>
      </c>
      <c r="P693" s="4">
        <v>145</v>
      </c>
      <c r="Q693" s="4">
        <v>33.5</v>
      </c>
      <c r="R693" s="4">
        <v>104</v>
      </c>
      <c r="V693" s="6" t="s">
        <v>2093</v>
      </c>
    </row>
    <row r="694" spans="2:22">
      <c r="B694" s="4" t="s">
        <v>1228</v>
      </c>
      <c r="C694" s="4" t="s">
        <v>2094</v>
      </c>
      <c r="E694" s="64" t="s">
        <v>40</v>
      </c>
      <c r="F694" s="44">
        <v>20130</v>
      </c>
      <c r="G694" s="21">
        <f t="shared" si="40"/>
        <v>1955</v>
      </c>
      <c r="H694" s="4">
        <f t="shared" si="39"/>
        <v>71</v>
      </c>
      <c r="J694" s="3" t="s">
        <v>27</v>
      </c>
      <c r="K694" s="4" t="s">
        <v>1230</v>
      </c>
      <c r="M694" s="5" t="s">
        <v>2095</v>
      </c>
      <c r="O694" s="4" t="s">
        <v>273</v>
      </c>
      <c r="P694" s="4">
        <v>155</v>
      </c>
      <c r="Q694" s="4">
        <v>59.5</v>
      </c>
      <c r="R694" s="4">
        <v>120</v>
      </c>
      <c r="V694" s="6" t="s">
        <v>2096</v>
      </c>
    </row>
    <row r="695" spans="2:22">
      <c r="B695" s="4" t="s">
        <v>1228</v>
      </c>
      <c r="C695" s="4" t="s">
        <v>2097</v>
      </c>
      <c r="E695" s="64" t="s">
        <v>2374</v>
      </c>
      <c r="F695" s="4" t="s">
        <v>2098</v>
      </c>
      <c r="G695" s="21" t="str">
        <f t="shared" ref="G695:G700" si="42">RIGHT(F695,4)</f>
        <v>1982</v>
      </c>
      <c r="H695" s="4">
        <f t="shared" si="39"/>
        <v>44</v>
      </c>
      <c r="J695" s="3" t="s">
        <v>27</v>
      </c>
      <c r="K695" s="4" t="s">
        <v>1230</v>
      </c>
      <c r="M695" s="5" t="s">
        <v>2099</v>
      </c>
      <c r="O695" s="4" t="s">
        <v>2100</v>
      </c>
      <c r="P695" s="4">
        <v>173</v>
      </c>
      <c r="Q695" s="4">
        <v>87</v>
      </c>
      <c r="R695" s="4">
        <v>89</v>
      </c>
      <c r="V695" s="6" t="s">
        <v>2101</v>
      </c>
    </row>
    <row r="696" spans="2:22">
      <c r="B696" s="4" t="s">
        <v>1228</v>
      </c>
      <c r="C696" s="4" t="s">
        <v>2102</v>
      </c>
      <c r="E696" s="64" t="s">
        <v>2374</v>
      </c>
      <c r="F696" s="44">
        <v>28554</v>
      </c>
      <c r="G696" s="21">
        <f t="shared" si="40"/>
        <v>1978</v>
      </c>
      <c r="H696" s="4">
        <f t="shared" si="39"/>
        <v>48</v>
      </c>
      <c r="I696" s="3" t="s">
        <v>27</v>
      </c>
      <c r="K696" s="4" t="s">
        <v>1230</v>
      </c>
      <c r="M696" s="5" t="s">
        <v>2103</v>
      </c>
      <c r="O696" s="4" t="s">
        <v>2104</v>
      </c>
      <c r="P696" s="4">
        <v>158</v>
      </c>
      <c r="Q696" s="4">
        <v>52</v>
      </c>
      <c r="R696" s="4">
        <v>67</v>
      </c>
      <c r="V696" s="6" t="s">
        <v>1076</v>
      </c>
    </row>
    <row r="697" spans="2:22">
      <c r="B697" s="4" t="s">
        <v>1228</v>
      </c>
      <c r="C697" s="4" t="s">
        <v>2105</v>
      </c>
      <c r="E697" s="64" t="s">
        <v>2374</v>
      </c>
      <c r="F697" s="4" t="s">
        <v>2106</v>
      </c>
      <c r="G697" s="21" t="str">
        <f t="shared" si="42"/>
        <v>1967</v>
      </c>
      <c r="H697" s="4">
        <f t="shared" si="39"/>
        <v>59</v>
      </c>
      <c r="I697" s="3" t="s">
        <v>27</v>
      </c>
      <c r="K697" s="4" t="s">
        <v>1230</v>
      </c>
      <c r="M697" s="5" t="s">
        <v>2107</v>
      </c>
      <c r="O697" s="4" t="s">
        <v>2108</v>
      </c>
      <c r="P697" s="4">
        <v>165</v>
      </c>
      <c r="Q697" s="4">
        <v>62.9</v>
      </c>
      <c r="R697" s="4">
        <v>97</v>
      </c>
      <c r="V697" s="6" t="s">
        <v>2109</v>
      </c>
    </row>
    <row r="698" spans="2:22">
      <c r="B698" s="4" t="s">
        <v>1228</v>
      </c>
      <c r="C698" s="4" t="s">
        <v>2110</v>
      </c>
      <c r="E698" s="64" t="s">
        <v>40</v>
      </c>
      <c r="F698" s="4" t="s">
        <v>2111</v>
      </c>
      <c r="G698" s="21" t="str">
        <f t="shared" si="42"/>
        <v>1953</v>
      </c>
      <c r="H698" s="4">
        <f t="shared" si="39"/>
        <v>73</v>
      </c>
      <c r="J698" s="3" t="s">
        <v>27</v>
      </c>
      <c r="K698" s="4" t="s">
        <v>1230</v>
      </c>
      <c r="M698" s="5" t="s">
        <v>2112</v>
      </c>
      <c r="O698" s="4" t="s">
        <v>183</v>
      </c>
      <c r="P698" s="4">
        <v>150</v>
      </c>
      <c r="Q698" s="4">
        <v>31.5</v>
      </c>
      <c r="R698" s="4">
        <v>94</v>
      </c>
      <c r="V698" s="6" t="s">
        <v>2113</v>
      </c>
    </row>
    <row r="699" spans="2:22">
      <c r="B699" s="4" t="s">
        <v>1228</v>
      </c>
      <c r="C699" s="4" t="s">
        <v>2114</v>
      </c>
      <c r="E699" s="64" t="s">
        <v>40</v>
      </c>
      <c r="F699" s="44">
        <v>21310</v>
      </c>
      <c r="G699" s="21">
        <f t="shared" si="40"/>
        <v>1958</v>
      </c>
      <c r="H699" s="4">
        <f t="shared" si="39"/>
        <v>68</v>
      </c>
      <c r="J699" s="3" t="s">
        <v>27</v>
      </c>
      <c r="K699" s="4" t="s">
        <v>1230</v>
      </c>
      <c r="M699" s="5" t="s">
        <v>2115</v>
      </c>
      <c r="O699" s="4" t="s">
        <v>2116</v>
      </c>
      <c r="P699" s="4">
        <v>152</v>
      </c>
      <c r="Q699" s="4">
        <v>44</v>
      </c>
      <c r="R699" s="4">
        <v>94</v>
      </c>
      <c r="V699" s="6" t="s">
        <v>2117</v>
      </c>
    </row>
    <row r="700" spans="2:22">
      <c r="B700" s="4" t="s">
        <v>1228</v>
      </c>
      <c r="C700" s="4" t="s">
        <v>960</v>
      </c>
      <c r="E700" s="64" t="s">
        <v>40</v>
      </c>
      <c r="F700" s="4" t="s">
        <v>2118</v>
      </c>
      <c r="G700" s="21" t="str">
        <f t="shared" si="42"/>
        <v>1933</v>
      </c>
      <c r="H700" s="4">
        <f t="shared" si="39"/>
        <v>93</v>
      </c>
      <c r="J700" s="3" t="s">
        <v>27</v>
      </c>
      <c r="K700" s="4" t="s">
        <v>1230</v>
      </c>
      <c r="M700" s="5" t="s">
        <v>2119</v>
      </c>
      <c r="O700" s="4" t="s">
        <v>2120</v>
      </c>
      <c r="P700" s="4">
        <v>142</v>
      </c>
      <c r="Q700" s="4">
        <v>41.6</v>
      </c>
      <c r="R700" s="4">
        <v>95</v>
      </c>
      <c r="V700" s="6" t="s">
        <v>2121</v>
      </c>
    </row>
    <row r="701" spans="2:22">
      <c r="B701" s="4" t="s">
        <v>1228</v>
      </c>
      <c r="C701" s="4" t="s">
        <v>2122</v>
      </c>
      <c r="E701" s="64" t="s">
        <v>2374</v>
      </c>
      <c r="F701" s="44">
        <v>25265</v>
      </c>
      <c r="G701" s="21">
        <f t="shared" si="40"/>
        <v>1969</v>
      </c>
      <c r="H701" s="4">
        <f t="shared" si="39"/>
        <v>57</v>
      </c>
      <c r="J701" s="3" t="s">
        <v>27</v>
      </c>
      <c r="K701" s="4" t="s">
        <v>1230</v>
      </c>
      <c r="M701" s="5" t="s">
        <v>2123</v>
      </c>
      <c r="O701" s="4" t="s">
        <v>2124</v>
      </c>
      <c r="P701" s="4">
        <v>152</v>
      </c>
      <c r="Q701" s="4">
        <v>48.7</v>
      </c>
      <c r="R701" s="4">
        <v>102</v>
      </c>
      <c r="V701" s="6" t="s">
        <v>2125</v>
      </c>
    </row>
    <row r="702" spans="2:22">
      <c r="B702" s="4" t="s">
        <v>1228</v>
      </c>
      <c r="C702" s="4" t="s">
        <v>105</v>
      </c>
      <c r="E702" s="64" t="s">
        <v>2374</v>
      </c>
      <c r="F702" s="44">
        <v>25486</v>
      </c>
      <c r="G702" s="21">
        <f t="shared" si="40"/>
        <v>1969</v>
      </c>
      <c r="H702" s="4">
        <f t="shared" si="39"/>
        <v>57</v>
      </c>
      <c r="J702" s="3" t="s">
        <v>27</v>
      </c>
      <c r="K702" s="4" t="s">
        <v>1230</v>
      </c>
      <c r="M702" s="5" t="s">
        <v>2126</v>
      </c>
      <c r="O702" s="4" t="s">
        <v>2127</v>
      </c>
      <c r="P702" s="4">
        <v>162</v>
      </c>
      <c r="Q702" s="4">
        <v>66</v>
      </c>
      <c r="R702" s="4">
        <v>84</v>
      </c>
      <c r="V702" s="6" t="s">
        <v>2128</v>
      </c>
    </row>
    <row r="703" spans="2:22">
      <c r="B703" s="4" t="s">
        <v>1228</v>
      </c>
      <c r="C703" s="4" t="s">
        <v>1491</v>
      </c>
      <c r="E703" s="64" t="s">
        <v>2374</v>
      </c>
      <c r="F703" s="44">
        <v>24484</v>
      </c>
      <c r="G703" s="21">
        <f t="shared" si="40"/>
        <v>1967</v>
      </c>
      <c r="H703" s="4">
        <f t="shared" si="39"/>
        <v>59</v>
      </c>
      <c r="J703" s="3" t="s">
        <v>27</v>
      </c>
      <c r="K703" s="4" t="s">
        <v>1230</v>
      </c>
      <c r="M703" s="5" t="s">
        <v>2129</v>
      </c>
      <c r="O703" s="4" t="s">
        <v>2130</v>
      </c>
      <c r="P703" s="4">
        <v>158</v>
      </c>
      <c r="Q703" s="4">
        <v>34</v>
      </c>
      <c r="R703" s="4">
        <v>95</v>
      </c>
      <c r="V703" s="6" t="s">
        <v>2131</v>
      </c>
    </row>
    <row r="704" spans="2:22">
      <c r="B704" s="4" t="s">
        <v>1228</v>
      </c>
      <c r="C704" s="4" t="s">
        <v>2132</v>
      </c>
      <c r="E704" s="64" t="s">
        <v>2374</v>
      </c>
      <c r="F704" s="44">
        <v>25569</v>
      </c>
      <c r="G704" s="21">
        <f t="shared" si="40"/>
        <v>1970</v>
      </c>
      <c r="H704" s="4">
        <f t="shared" si="39"/>
        <v>56</v>
      </c>
      <c r="J704" s="3" t="s">
        <v>27</v>
      </c>
      <c r="K704" s="4" t="s">
        <v>1230</v>
      </c>
      <c r="M704" s="5" t="s">
        <v>2133</v>
      </c>
      <c r="O704" s="4" t="s">
        <v>1280</v>
      </c>
      <c r="P704" s="4">
        <v>154</v>
      </c>
      <c r="Q704" s="4">
        <v>54.5</v>
      </c>
      <c r="R704" s="4">
        <v>82</v>
      </c>
      <c r="V704" s="6" t="s">
        <v>2134</v>
      </c>
    </row>
    <row r="705" spans="2:22">
      <c r="B705" s="4" t="s">
        <v>1228</v>
      </c>
      <c r="C705" s="4" t="s">
        <v>2135</v>
      </c>
      <c r="E705" s="64" t="s">
        <v>40</v>
      </c>
      <c r="F705" s="4" t="s">
        <v>2136</v>
      </c>
      <c r="G705" s="21" t="str">
        <f>RIGHT(F705,4)</f>
        <v>1944</v>
      </c>
      <c r="H705" s="4">
        <f t="shared" si="39"/>
        <v>82</v>
      </c>
      <c r="J705" s="3" t="s">
        <v>27</v>
      </c>
      <c r="K705" s="4" t="s">
        <v>1919</v>
      </c>
      <c r="M705" s="5" t="s">
        <v>2137</v>
      </c>
      <c r="O705" s="4" t="s">
        <v>34</v>
      </c>
      <c r="R705" s="4">
        <v>82</v>
      </c>
      <c r="V705" s="6" t="s">
        <v>2138</v>
      </c>
    </row>
    <row r="706" spans="2:22">
      <c r="B706" s="4" t="s">
        <v>1228</v>
      </c>
      <c r="C706" s="4" t="s">
        <v>2139</v>
      </c>
      <c r="E706" s="64" t="s">
        <v>2374</v>
      </c>
      <c r="F706" s="4" t="s">
        <v>2140</v>
      </c>
      <c r="G706" s="21" t="str">
        <f>RIGHT(F706,4)</f>
        <v>1982</v>
      </c>
      <c r="H706" s="4">
        <f t="shared" si="39"/>
        <v>44</v>
      </c>
      <c r="J706" s="3" t="s">
        <v>27</v>
      </c>
      <c r="K706" s="4" t="s">
        <v>1919</v>
      </c>
      <c r="M706" s="5" t="s">
        <v>2141</v>
      </c>
      <c r="O706" s="4" t="s">
        <v>34</v>
      </c>
      <c r="P706" s="4">
        <v>150</v>
      </c>
      <c r="Q706" s="4">
        <v>48</v>
      </c>
      <c r="R706" s="4">
        <v>80</v>
      </c>
      <c r="V706" s="6" t="s">
        <v>715</v>
      </c>
    </row>
    <row r="707" spans="2:22">
      <c r="B707" s="4" t="s">
        <v>1228</v>
      </c>
      <c r="C707" s="4" t="s">
        <v>2142</v>
      </c>
      <c r="E707" s="64" t="s">
        <v>40</v>
      </c>
      <c r="F707" s="4" t="s">
        <v>2143</v>
      </c>
      <c r="G707" s="21" t="str">
        <f>RIGHT(F707,4)</f>
        <v>1936</v>
      </c>
      <c r="H707" s="4">
        <f t="shared" si="39"/>
        <v>90</v>
      </c>
      <c r="I707" s="3" t="s">
        <v>27</v>
      </c>
      <c r="K707" s="4" t="s">
        <v>1919</v>
      </c>
      <c r="M707" s="5" t="s">
        <v>2144</v>
      </c>
      <c r="O707" s="4" t="s">
        <v>1608</v>
      </c>
      <c r="P707" s="4">
        <v>150</v>
      </c>
      <c r="Q707" s="4">
        <v>45</v>
      </c>
      <c r="R707" s="4">
        <v>80</v>
      </c>
      <c r="V707" s="6" t="s">
        <v>2145</v>
      </c>
    </row>
    <row r="708" spans="2:22">
      <c r="B708" s="4" t="s">
        <v>1228</v>
      </c>
      <c r="C708" s="4" t="s">
        <v>2146</v>
      </c>
      <c r="E708" s="64" t="s">
        <v>2374</v>
      </c>
      <c r="F708" s="4" t="s">
        <v>2147</v>
      </c>
      <c r="G708" s="21" t="str">
        <f>RIGHT(F708,4)</f>
        <v>1971</v>
      </c>
      <c r="H708" s="4">
        <f t="shared" si="39"/>
        <v>55</v>
      </c>
      <c r="J708" s="3" t="s">
        <v>27</v>
      </c>
      <c r="K708" s="4" t="s">
        <v>1919</v>
      </c>
      <c r="M708" s="49" t="s">
        <v>2148</v>
      </c>
      <c r="O708" s="4" t="s">
        <v>60</v>
      </c>
      <c r="P708" s="4">
        <v>165</v>
      </c>
      <c r="Q708" s="4">
        <v>57</v>
      </c>
      <c r="R708" s="4">
        <v>80</v>
      </c>
      <c r="V708" s="6" t="s">
        <v>2149</v>
      </c>
    </row>
    <row r="709" spans="2:22">
      <c r="B709" s="4" t="s">
        <v>1228</v>
      </c>
      <c r="C709" s="4" t="s">
        <v>2150</v>
      </c>
      <c r="E709" s="64" t="s">
        <v>2374</v>
      </c>
      <c r="F709" s="4" t="s">
        <v>2151</v>
      </c>
      <c r="G709" s="21" t="str">
        <f>RIGHT(F709,4)</f>
        <v>1970</v>
      </c>
      <c r="H709" s="4">
        <f t="shared" si="39"/>
        <v>56</v>
      </c>
      <c r="J709" s="3" t="s">
        <v>27</v>
      </c>
      <c r="K709" s="4" t="s">
        <v>1919</v>
      </c>
      <c r="L709" s="50" t="s">
        <v>2152</v>
      </c>
      <c r="M709" s="5" t="s">
        <v>2153</v>
      </c>
      <c r="O709" s="4" t="s">
        <v>34</v>
      </c>
      <c r="P709" s="4">
        <v>158</v>
      </c>
      <c r="Q709" s="4">
        <v>53</v>
      </c>
      <c r="R709" s="4">
        <v>80</v>
      </c>
      <c r="V709" s="6" t="s">
        <v>2053</v>
      </c>
    </row>
    <row r="710" spans="2:22">
      <c r="B710" s="4" t="s">
        <v>1228</v>
      </c>
      <c r="C710" s="4" t="s">
        <v>137</v>
      </c>
      <c r="E710" s="64" t="s">
        <v>40</v>
      </c>
      <c r="F710" s="44">
        <v>17148</v>
      </c>
      <c r="G710" s="21">
        <f t="shared" si="40"/>
        <v>1946</v>
      </c>
      <c r="H710" s="4">
        <f t="shared" si="39"/>
        <v>80</v>
      </c>
      <c r="J710" s="3" t="s">
        <v>27</v>
      </c>
      <c r="K710" s="4" t="s">
        <v>1919</v>
      </c>
      <c r="M710" s="5" t="s">
        <v>2154</v>
      </c>
      <c r="O710" s="4" t="s">
        <v>87</v>
      </c>
      <c r="P710" s="4">
        <v>150</v>
      </c>
      <c r="Q710" s="4">
        <v>52</v>
      </c>
      <c r="R710" s="4">
        <v>80</v>
      </c>
      <c r="V710" s="6" t="s">
        <v>2155</v>
      </c>
    </row>
    <row r="711" spans="2:22">
      <c r="B711" s="4" t="s">
        <v>1228</v>
      </c>
      <c r="C711" s="4" t="s">
        <v>2156</v>
      </c>
      <c r="E711" s="64" t="s">
        <v>40</v>
      </c>
      <c r="F711" s="44">
        <v>14894</v>
      </c>
      <c r="G711" s="21">
        <f t="shared" si="40"/>
        <v>1940</v>
      </c>
      <c r="H711" s="4">
        <f t="shared" si="39"/>
        <v>86</v>
      </c>
      <c r="J711" s="3" t="s">
        <v>27</v>
      </c>
      <c r="K711" s="4" t="s">
        <v>1919</v>
      </c>
      <c r="M711" s="5" t="s">
        <v>2157</v>
      </c>
      <c r="O711" s="4" t="s">
        <v>34</v>
      </c>
      <c r="P711" s="4">
        <v>148</v>
      </c>
      <c r="Q711" s="4">
        <v>50</v>
      </c>
      <c r="R711" s="4">
        <v>79</v>
      </c>
      <c r="V711" s="6" t="s">
        <v>2158</v>
      </c>
    </row>
    <row r="712" spans="2:22">
      <c r="B712" s="4" t="s">
        <v>1228</v>
      </c>
      <c r="C712" s="4" t="s">
        <v>2159</v>
      </c>
      <c r="E712" s="64" t="s">
        <v>40</v>
      </c>
      <c r="F712" s="44">
        <v>20943</v>
      </c>
      <c r="G712" s="21">
        <f t="shared" si="40"/>
        <v>1957</v>
      </c>
      <c r="H712" s="4">
        <f t="shared" si="39"/>
        <v>69</v>
      </c>
      <c r="J712" s="3" t="s">
        <v>27</v>
      </c>
      <c r="K712" s="4" t="s">
        <v>1919</v>
      </c>
      <c r="M712" s="5" t="s">
        <v>2160</v>
      </c>
      <c r="O712" s="4" t="s">
        <v>34</v>
      </c>
      <c r="P712" s="4">
        <v>150</v>
      </c>
      <c r="Q712" s="4">
        <v>45</v>
      </c>
      <c r="R712" s="4">
        <v>80</v>
      </c>
      <c r="V712" s="6" t="s">
        <v>2161</v>
      </c>
    </row>
    <row r="713" spans="2:22">
      <c r="B713" s="4" t="s">
        <v>1228</v>
      </c>
      <c r="C713" s="4" t="s">
        <v>2162</v>
      </c>
      <c r="E713" s="64" t="s">
        <v>40</v>
      </c>
      <c r="F713" s="44">
        <v>17168</v>
      </c>
      <c r="G713" s="21">
        <f t="shared" si="40"/>
        <v>1947</v>
      </c>
      <c r="H713" s="4">
        <f t="shared" si="39"/>
        <v>79</v>
      </c>
      <c r="J713" s="3" t="s">
        <v>27</v>
      </c>
      <c r="K713" s="4" t="s">
        <v>1919</v>
      </c>
      <c r="M713" s="5" t="s">
        <v>2163</v>
      </c>
      <c r="O713" s="4" t="s">
        <v>143</v>
      </c>
      <c r="P713" s="4">
        <v>155</v>
      </c>
      <c r="Q713" s="4">
        <v>60</v>
      </c>
      <c r="R713" s="4">
        <v>80</v>
      </c>
      <c r="V713" s="6" t="s">
        <v>2164</v>
      </c>
    </row>
    <row r="714" spans="2:22">
      <c r="B714" s="4" t="s">
        <v>1228</v>
      </c>
      <c r="C714" s="4" t="s">
        <v>1436</v>
      </c>
      <c r="E714" s="64" t="s">
        <v>40</v>
      </c>
      <c r="F714" s="4" t="s">
        <v>2165</v>
      </c>
      <c r="G714" s="21" t="str">
        <f>RIGHT(F714,4)</f>
        <v>1947</v>
      </c>
      <c r="H714" s="4">
        <f t="shared" si="39"/>
        <v>79</v>
      </c>
      <c r="J714" s="3" t="s">
        <v>27</v>
      </c>
      <c r="K714" s="4" t="s">
        <v>1919</v>
      </c>
      <c r="M714" s="5" t="s">
        <v>2166</v>
      </c>
      <c r="O714" s="4" t="s">
        <v>2167</v>
      </c>
      <c r="P714" s="4">
        <v>155</v>
      </c>
      <c r="Q714" s="4">
        <v>45</v>
      </c>
      <c r="R714" s="4">
        <v>80</v>
      </c>
      <c r="V714" s="6" t="s">
        <v>2168</v>
      </c>
    </row>
    <row r="715" spans="2:22">
      <c r="B715" s="4" t="s">
        <v>1228</v>
      </c>
      <c r="C715" s="4" t="s">
        <v>2169</v>
      </c>
      <c r="E715" s="64" t="s">
        <v>2374</v>
      </c>
      <c r="F715" s="44">
        <v>27582</v>
      </c>
      <c r="G715" s="21">
        <f t="shared" si="40"/>
        <v>1975</v>
      </c>
      <c r="H715" s="4">
        <f t="shared" si="39"/>
        <v>51</v>
      </c>
      <c r="J715" s="3" t="s">
        <v>27</v>
      </c>
      <c r="K715" s="4" t="s">
        <v>1919</v>
      </c>
      <c r="M715" s="5" t="s">
        <v>2170</v>
      </c>
      <c r="O715" s="4" t="s">
        <v>60</v>
      </c>
      <c r="P715" s="4">
        <v>155</v>
      </c>
      <c r="Q715" s="4">
        <v>58</v>
      </c>
      <c r="R715" s="4">
        <v>87</v>
      </c>
      <c r="V715" s="6" t="s">
        <v>1807</v>
      </c>
    </row>
    <row r="716" spans="2:22">
      <c r="B716" s="4" t="s">
        <v>1228</v>
      </c>
      <c r="C716" s="4" t="s">
        <v>2171</v>
      </c>
      <c r="E716" s="64" t="s">
        <v>40</v>
      </c>
      <c r="F716" s="4" t="s">
        <v>2172</v>
      </c>
      <c r="G716" s="21" t="str">
        <f>RIGHT(F716,4)</f>
        <v>1944</v>
      </c>
      <c r="H716" s="4">
        <f t="shared" si="39"/>
        <v>82</v>
      </c>
      <c r="I716" s="3" t="s">
        <v>27</v>
      </c>
      <c r="K716" s="4" t="s">
        <v>1919</v>
      </c>
      <c r="M716" s="5" t="s">
        <v>2173</v>
      </c>
      <c r="O716" s="4" t="s">
        <v>1467</v>
      </c>
      <c r="P716" s="4">
        <v>156</v>
      </c>
      <c r="Q716" s="4">
        <v>45</v>
      </c>
      <c r="R716" s="4">
        <v>83</v>
      </c>
      <c r="V716" s="6" t="s">
        <v>2174</v>
      </c>
    </row>
    <row r="717" spans="2:22">
      <c r="B717" s="4" t="s">
        <v>1228</v>
      </c>
      <c r="C717" s="4" t="s">
        <v>26</v>
      </c>
      <c r="E717" s="64" t="s">
        <v>40</v>
      </c>
      <c r="F717" s="44">
        <v>16959</v>
      </c>
      <c r="G717" s="21">
        <f t="shared" si="40"/>
        <v>1946</v>
      </c>
      <c r="H717" s="4">
        <f t="shared" si="39"/>
        <v>80</v>
      </c>
      <c r="J717" s="3" t="s">
        <v>27</v>
      </c>
      <c r="K717" s="4" t="s">
        <v>1919</v>
      </c>
      <c r="M717" s="5" t="s">
        <v>2175</v>
      </c>
      <c r="O717" s="4" t="s">
        <v>1608</v>
      </c>
      <c r="P717" s="4">
        <v>158</v>
      </c>
      <c r="Q717" s="4">
        <v>44</v>
      </c>
      <c r="R717" s="4">
        <v>85</v>
      </c>
      <c r="V717" s="6" t="s">
        <v>2176</v>
      </c>
    </row>
    <row r="718" spans="2:22">
      <c r="B718" s="4" t="s">
        <v>1228</v>
      </c>
      <c r="C718" s="4" t="s">
        <v>2177</v>
      </c>
      <c r="E718" s="64" t="s">
        <v>2374</v>
      </c>
      <c r="F718" s="44">
        <v>24848</v>
      </c>
      <c r="G718" s="21">
        <f t="shared" si="40"/>
        <v>1968</v>
      </c>
      <c r="H718" s="4">
        <f t="shared" si="39"/>
        <v>58</v>
      </c>
      <c r="I718" s="3" t="s">
        <v>27</v>
      </c>
      <c r="K718" s="4" t="s">
        <v>1919</v>
      </c>
      <c r="M718" s="5" t="s">
        <v>2178</v>
      </c>
      <c r="O718" s="4" t="s">
        <v>87</v>
      </c>
      <c r="P718" s="4">
        <v>150</v>
      </c>
      <c r="Q718" s="4">
        <v>58</v>
      </c>
      <c r="R718" s="4">
        <v>85</v>
      </c>
      <c r="V718" s="6" t="s">
        <v>2179</v>
      </c>
    </row>
    <row r="719" spans="2:22">
      <c r="B719" s="4" t="s">
        <v>1228</v>
      </c>
      <c r="C719" s="4" t="s">
        <v>2180</v>
      </c>
      <c r="E719" s="64" t="s">
        <v>2374</v>
      </c>
      <c r="F719" s="44">
        <v>27920</v>
      </c>
      <c r="G719" s="21">
        <f t="shared" si="40"/>
        <v>1976</v>
      </c>
      <c r="H719" s="4">
        <f t="shared" si="39"/>
        <v>50</v>
      </c>
      <c r="I719" s="3" t="s">
        <v>27</v>
      </c>
      <c r="K719" s="4" t="s">
        <v>1919</v>
      </c>
      <c r="L719" s="50" t="s">
        <v>2181</v>
      </c>
      <c r="M719" s="5" t="s">
        <v>2182</v>
      </c>
      <c r="O719" s="4" t="s">
        <v>2183</v>
      </c>
      <c r="P719" s="4">
        <v>164</v>
      </c>
      <c r="Q719" s="4">
        <v>51.5</v>
      </c>
      <c r="R719" s="4">
        <v>80</v>
      </c>
      <c r="V719" s="6" t="s">
        <v>2179</v>
      </c>
    </row>
    <row r="720" spans="2:22">
      <c r="B720" s="4" t="s">
        <v>1228</v>
      </c>
      <c r="C720" s="4" t="s">
        <v>2184</v>
      </c>
      <c r="E720" s="64" t="s">
        <v>40</v>
      </c>
      <c r="F720" s="4" t="s">
        <v>2185</v>
      </c>
      <c r="G720" s="21" t="str">
        <f t="shared" ref="G720:G725" si="43">RIGHT(F720,4)</f>
        <v>1965</v>
      </c>
      <c r="H720" s="4">
        <f t="shared" si="39"/>
        <v>61</v>
      </c>
      <c r="I720" s="3" t="s">
        <v>27</v>
      </c>
      <c r="K720" s="4" t="s">
        <v>1919</v>
      </c>
      <c r="M720" s="5" t="s">
        <v>2186</v>
      </c>
      <c r="V720" s="6" t="s">
        <v>2187</v>
      </c>
    </row>
    <row r="721" spans="2:22">
      <c r="B721" s="4" t="s">
        <v>1228</v>
      </c>
      <c r="C721" s="4" t="s">
        <v>2188</v>
      </c>
      <c r="E721" s="64" t="s">
        <v>2374</v>
      </c>
      <c r="F721" s="44">
        <v>24474</v>
      </c>
      <c r="G721" s="21">
        <f t="shared" si="40"/>
        <v>1967</v>
      </c>
      <c r="H721" s="4">
        <f t="shared" si="39"/>
        <v>59</v>
      </c>
      <c r="I721" s="3" t="s">
        <v>27</v>
      </c>
      <c r="K721" s="4" t="s">
        <v>1919</v>
      </c>
      <c r="M721" s="5" t="s">
        <v>2189</v>
      </c>
      <c r="O721" s="4" t="s">
        <v>263</v>
      </c>
      <c r="P721" s="4">
        <v>165</v>
      </c>
      <c r="Q721" s="4">
        <v>51</v>
      </c>
      <c r="R721" s="4">
        <v>80</v>
      </c>
      <c r="V721" s="6" t="s">
        <v>2190</v>
      </c>
    </row>
    <row r="722" spans="2:22">
      <c r="B722" s="4" t="s">
        <v>1228</v>
      </c>
      <c r="C722" s="4" t="s">
        <v>2191</v>
      </c>
      <c r="E722" s="64" t="s">
        <v>40</v>
      </c>
      <c r="F722" s="4" t="s">
        <v>2192</v>
      </c>
      <c r="G722" s="21" t="str">
        <f t="shared" si="43"/>
        <v>1948</v>
      </c>
      <c r="H722" s="4">
        <f t="shared" si="39"/>
        <v>78</v>
      </c>
      <c r="I722" s="3" t="s">
        <v>27</v>
      </c>
      <c r="K722" s="4" t="s">
        <v>1919</v>
      </c>
      <c r="M722" s="5" t="s">
        <v>2193</v>
      </c>
      <c r="O722" s="4" t="s">
        <v>87</v>
      </c>
      <c r="P722" s="4">
        <v>167</v>
      </c>
      <c r="Q722" s="4">
        <v>60</v>
      </c>
      <c r="R722" s="4">
        <v>80</v>
      </c>
      <c r="V722" s="6" t="s">
        <v>2194</v>
      </c>
    </row>
    <row r="723" spans="2:22">
      <c r="B723" s="4" t="s">
        <v>1228</v>
      </c>
      <c r="C723" s="4" t="s">
        <v>105</v>
      </c>
      <c r="E723" s="64" t="s">
        <v>40</v>
      </c>
      <c r="F723" s="4" t="s">
        <v>2195</v>
      </c>
      <c r="G723" s="21" t="str">
        <f t="shared" si="43"/>
        <v>1953</v>
      </c>
      <c r="H723" s="4">
        <f t="shared" si="39"/>
        <v>73</v>
      </c>
      <c r="J723" s="3" t="s">
        <v>27</v>
      </c>
      <c r="K723" s="4" t="s">
        <v>1919</v>
      </c>
      <c r="M723" s="5" t="s">
        <v>2196</v>
      </c>
      <c r="O723" s="4" t="s">
        <v>570</v>
      </c>
      <c r="P723" s="4">
        <v>150</v>
      </c>
      <c r="Q723" s="4">
        <v>43</v>
      </c>
      <c r="R723" s="4">
        <v>80</v>
      </c>
      <c r="V723" s="6" t="s">
        <v>2197</v>
      </c>
    </row>
    <row r="724" spans="2:22">
      <c r="B724" s="4" t="s">
        <v>1228</v>
      </c>
      <c r="C724" s="4" t="s">
        <v>2198</v>
      </c>
      <c r="E724" s="64" t="s">
        <v>40</v>
      </c>
      <c r="F724" s="44">
        <v>21094</v>
      </c>
      <c r="G724" s="21">
        <f t="shared" si="40"/>
        <v>1957</v>
      </c>
      <c r="H724" s="4">
        <f t="shared" si="39"/>
        <v>69</v>
      </c>
      <c r="J724" s="3" t="s">
        <v>27</v>
      </c>
      <c r="K724" s="4" t="s">
        <v>1919</v>
      </c>
      <c r="M724" s="5" t="s">
        <v>2199</v>
      </c>
      <c r="O724" s="4" t="s">
        <v>113</v>
      </c>
      <c r="P724" s="4">
        <v>170</v>
      </c>
      <c r="Q724" s="4">
        <v>72</v>
      </c>
      <c r="R724" s="4">
        <v>80</v>
      </c>
      <c r="V724" s="6" t="s">
        <v>2200</v>
      </c>
    </row>
    <row r="725" spans="2:22">
      <c r="B725" s="4" t="s">
        <v>1228</v>
      </c>
      <c r="C725" s="4" t="s">
        <v>2201</v>
      </c>
      <c r="E725" s="64" t="s">
        <v>40</v>
      </c>
      <c r="F725" s="4" t="s">
        <v>2202</v>
      </c>
      <c r="G725" s="21" t="str">
        <f t="shared" si="43"/>
        <v>1951</v>
      </c>
      <c r="H725" s="4">
        <f t="shared" si="39"/>
        <v>75</v>
      </c>
      <c r="J725" s="3" t="s">
        <v>27</v>
      </c>
      <c r="K725" s="4" t="s">
        <v>1932</v>
      </c>
      <c r="M725" s="5" t="s">
        <v>2203</v>
      </c>
      <c r="O725" s="4" t="s">
        <v>263</v>
      </c>
      <c r="P725" s="4">
        <v>150</v>
      </c>
      <c r="Q725" s="4">
        <v>42</v>
      </c>
      <c r="R725" s="4">
        <v>82</v>
      </c>
      <c r="V725" s="6" t="s">
        <v>2204</v>
      </c>
    </row>
    <row r="726" spans="2:22">
      <c r="B726" s="4" t="s">
        <v>1228</v>
      </c>
      <c r="C726" s="4" t="s">
        <v>2205</v>
      </c>
      <c r="E726" s="64" t="s">
        <v>40</v>
      </c>
      <c r="F726" s="44">
        <v>11819</v>
      </c>
      <c r="G726" s="21">
        <f t="shared" si="40"/>
        <v>1932</v>
      </c>
      <c r="H726" s="4">
        <f t="shared" si="39"/>
        <v>94</v>
      </c>
      <c r="I726" s="3" t="s">
        <v>27</v>
      </c>
      <c r="K726" s="4" t="s">
        <v>1932</v>
      </c>
      <c r="M726" s="5" t="s">
        <v>2206</v>
      </c>
      <c r="O726" s="4" t="s">
        <v>149</v>
      </c>
      <c r="V726" s="6" t="s">
        <v>2207</v>
      </c>
    </row>
    <row r="727" spans="2:22">
      <c r="B727" s="4" t="s">
        <v>1228</v>
      </c>
      <c r="C727" s="4" t="s">
        <v>2208</v>
      </c>
      <c r="E727" s="64" t="s">
        <v>40</v>
      </c>
      <c r="F727" s="44">
        <v>16263</v>
      </c>
      <c r="G727" s="21">
        <f t="shared" si="40"/>
        <v>1944</v>
      </c>
      <c r="H727" s="4">
        <f t="shared" si="39"/>
        <v>82</v>
      </c>
      <c r="I727" s="3" t="s">
        <v>27</v>
      </c>
      <c r="K727" s="4" t="s">
        <v>1932</v>
      </c>
      <c r="M727" s="5" t="s">
        <v>2209</v>
      </c>
      <c r="O727" s="4" t="s">
        <v>536</v>
      </c>
      <c r="P727" s="4">
        <v>162</v>
      </c>
      <c r="Q727" s="4">
        <v>50</v>
      </c>
      <c r="R727" s="4">
        <v>97</v>
      </c>
      <c r="V727" s="6" t="s">
        <v>2210</v>
      </c>
    </row>
    <row r="728" spans="2:22">
      <c r="B728" s="4" t="s">
        <v>1228</v>
      </c>
      <c r="C728" s="4" t="s">
        <v>2211</v>
      </c>
      <c r="E728" s="64" t="s">
        <v>40</v>
      </c>
      <c r="F728" s="44">
        <v>23377</v>
      </c>
      <c r="G728" s="21">
        <f t="shared" si="40"/>
        <v>1964</v>
      </c>
      <c r="H728" s="4">
        <f t="shared" si="39"/>
        <v>62</v>
      </c>
      <c r="J728" s="3" t="s">
        <v>27</v>
      </c>
      <c r="K728" s="4" t="s">
        <v>1932</v>
      </c>
      <c r="M728" s="5" t="s">
        <v>2212</v>
      </c>
      <c r="O728" s="4" t="s">
        <v>288</v>
      </c>
      <c r="P728" s="4">
        <v>155</v>
      </c>
      <c r="Q728" s="4">
        <v>60</v>
      </c>
      <c r="R728" s="4">
        <v>83</v>
      </c>
      <c r="V728" s="6" t="s">
        <v>2213</v>
      </c>
    </row>
    <row r="729" spans="2:22">
      <c r="B729" s="4" t="s">
        <v>1228</v>
      </c>
      <c r="C729" s="4" t="s">
        <v>2214</v>
      </c>
      <c r="E729" s="64" t="s">
        <v>40</v>
      </c>
      <c r="F729" s="44">
        <v>21245</v>
      </c>
      <c r="G729" s="21">
        <f t="shared" si="40"/>
        <v>1958</v>
      </c>
      <c r="H729" s="4">
        <f t="shared" si="39"/>
        <v>68</v>
      </c>
      <c r="I729" s="3" t="s">
        <v>27</v>
      </c>
      <c r="K729" s="4" t="s">
        <v>1932</v>
      </c>
      <c r="M729" s="5" t="s">
        <v>2215</v>
      </c>
      <c r="O729" s="4" t="s">
        <v>60</v>
      </c>
      <c r="P729" s="4">
        <v>164</v>
      </c>
      <c r="Q729" s="4">
        <v>42</v>
      </c>
      <c r="R729" s="4">
        <v>96</v>
      </c>
      <c r="V729" s="6" t="s">
        <v>2216</v>
      </c>
    </row>
    <row r="730" spans="2:22">
      <c r="B730" s="4" t="s">
        <v>1228</v>
      </c>
      <c r="C730" s="4" t="s">
        <v>2217</v>
      </c>
      <c r="E730" s="4" t="s">
        <v>40</v>
      </c>
      <c r="F730" s="44">
        <v>17442</v>
      </c>
      <c r="G730" s="21">
        <f t="shared" si="40"/>
        <v>1947</v>
      </c>
      <c r="H730" s="4">
        <f t="shared" si="39"/>
        <v>79</v>
      </c>
      <c r="J730" s="3" t="s">
        <v>27</v>
      </c>
      <c r="K730" s="4" t="s">
        <v>1919</v>
      </c>
      <c r="M730" s="5" t="s">
        <v>2218</v>
      </c>
      <c r="O730" s="4" t="s">
        <v>60</v>
      </c>
      <c r="P730" s="4">
        <v>155</v>
      </c>
      <c r="Q730" s="4">
        <v>30</v>
      </c>
      <c r="R730" s="4">
        <v>80</v>
      </c>
      <c r="V730" s="6" t="s">
        <v>2219</v>
      </c>
    </row>
    <row r="731" spans="2:22">
      <c r="B731" s="4" t="s">
        <v>1228</v>
      </c>
      <c r="C731" s="4" t="s">
        <v>2220</v>
      </c>
      <c r="E731" s="64" t="s">
        <v>2374</v>
      </c>
      <c r="F731" s="44">
        <v>27249</v>
      </c>
      <c r="G731" s="21">
        <f t="shared" ref="G731:G786" si="44">YEAR(F731)</f>
        <v>1974</v>
      </c>
      <c r="H731" s="4">
        <f t="shared" ref="H731:H786" si="45">2026-G731</f>
        <v>52</v>
      </c>
      <c r="J731" s="3" t="s">
        <v>27</v>
      </c>
      <c r="K731" s="4" t="s">
        <v>1919</v>
      </c>
      <c r="M731" s="5" t="s">
        <v>2221</v>
      </c>
      <c r="O731" s="4" t="s">
        <v>146</v>
      </c>
      <c r="P731" s="4">
        <v>160</v>
      </c>
      <c r="Q731" s="4">
        <v>56</v>
      </c>
      <c r="R731" s="4">
        <v>80</v>
      </c>
      <c r="V731" s="6" t="s">
        <v>2222</v>
      </c>
    </row>
    <row r="732" spans="2:22">
      <c r="B732" s="4" t="s">
        <v>1228</v>
      </c>
      <c r="C732" s="4" t="s">
        <v>2223</v>
      </c>
      <c r="E732" s="64" t="s">
        <v>2374</v>
      </c>
      <c r="F732" s="4" t="s">
        <v>2224</v>
      </c>
      <c r="G732" s="21" t="str">
        <f t="shared" ref="G732:G735" si="46">RIGHT(F732,4)</f>
        <v>1979</v>
      </c>
      <c r="H732" s="4">
        <f t="shared" si="45"/>
        <v>47</v>
      </c>
      <c r="J732" s="3" t="s">
        <v>27</v>
      </c>
      <c r="K732" s="4" t="s">
        <v>1919</v>
      </c>
      <c r="L732" s="50" t="s">
        <v>2225</v>
      </c>
      <c r="M732" s="5" t="s">
        <v>2226</v>
      </c>
      <c r="O732" s="4" t="s">
        <v>87</v>
      </c>
      <c r="P732" s="4">
        <v>160</v>
      </c>
      <c r="Q732" s="4">
        <v>53</v>
      </c>
      <c r="R732" s="4">
        <v>80</v>
      </c>
      <c r="V732" s="6" t="s">
        <v>2194</v>
      </c>
    </row>
    <row r="733" spans="2:22">
      <c r="B733" s="4" t="s">
        <v>1228</v>
      </c>
      <c r="C733" s="4" t="s">
        <v>2227</v>
      </c>
      <c r="E733" s="64" t="s">
        <v>2374</v>
      </c>
      <c r="F733" s="4" t="s">
        <v>2228</v>
      </c>
      <c r="G733" s="21" t="str">
        <f t="shared" si="46"/>
        <v>1977</v>
      </c>
      <c r="H733" s="4">
        <f t="shared" si="45"/>
        <v>49</v>
      </c>
      <c r="J733" s="3" t="s">
        <v>27</v>
      </c>
      <c r="K733" s="4" t="s">
        <v>1919</v>
      </c>
      <c r="L733" s="50" t="s">
        <v>2229</v>
      </c>
      <c r="M733" s="5" t="s">
        <v>2230</v>
      </c>
      <c r="O733" s="4" t="s">
        <v>34</v>
      </c>
      <c r="P733" s="4">
        <v>165</v>
      </c>
      <c r="Q733" s="4">
        <v>63</v>
      </c>
      <c r="R733" s="4">
        <v>87</v>
      </c>
      <c r="V733" s="6" t="s">
        <v>2231</v>
      </c>
    </row>
    <row r="734" spans="2:22">
      <c r="B734" s="4" t="s">
        <v>1228</v>
      </c>
      <c r="C734" s="4" t="s">
        <v>2232</v>
      </c>
      <c r="E734" s="64" t="s">
        <v>2374</v>
      </c>
      <c r="F734" s="44">
        <v>24473</v>
      </c>
      <c r="G734" s="21">
        <f t="shared" si="44"/>
        <v>1967</v>
      </c>
      <c r="H734" s="4">
        <f t="shared" si="45"/>
        <v>59</v>
      </c>
      <c r="J734" s="3" t="s">
        <v>27</v>
      </c>
      <c r="K734" s="4" t="s">
        <v>1919</v>
      </c>
      <c r="L734" s="50" t="s">
        <v>2233</v>
      </c>
      <c r="M734" s="5" t="s">
        <v>2234</v>
      </c>
      <c r="O734" s="4" t="s">
        <v>87</v>
      </c>
      <c r="P734" s="4">
        <v>155</v>
      </c>
      <c r="Q734" s="4">
        <v>35</v>
      </c>
      <c r="R734" s="4">
        <v>80</v>
      </c>
      <c r="V734" s="6" t="s">
        <v>2235</v>
      </c>
    </row>
    <row r="735" spans="2:22">
      <c r="B735" s="4" t="s">
        <v>1228</v>
      </c>
      <c r="C735" s="4" t="s">
        <v>2236</v>
      </c>
      <c r="E735" s="64" t="s">
        <v>2374</v>
      </c>
      <c r="F735" s="4" t="s">
        <v>2237</v>
      </c>
      <c r="G735" s="21" t="str">
        <f t="shared" si="46"/>
        <v>1976</v>
      </c>
      <c r="H735" s="4">
        <f t="shared" si="45"/>
        <v>50</v>
      </c>
      <c r="I735" s="3" t="s">
        <v>27</v>
      </c>
      <c r="K735" s="4" t="s">
        <v>1919</v>
      </c>
      <c r="M735" s="5" t="s">
        <v>2238</v>
      </c>
      <c r="O735" s="4" t="s">
        <v>87</v>
      </c>
      <c r="P735" s="4">
        <v>155</v>
      </c>
      <c r="Q735" s="4">
        <v>51</v>
      </c>
      <c r="R735" s="4">
        <v>80</v>
      </c>
      <c r="V735" s="6" t="s">
        <v>2239</v>
      </c>
    </row>
    <row r="736" spans="2:22">
      <c r="B736" s="4" t="s">
        <v>1228</v>
      </c>
      <c r="C736" s="4" t="s">
        <v>2240</v>
      </c>
      <c r="E736" s="64" t="s">
        <v>2374</v>
      </c>
      <c r="F736" s="44">
        <v>28157</v>
      </c>
      <c r="G736" s="21">
        <f t="shared" si="44"/>
        <v>1977</v>
      </c>
      <c r="H736" s="4">
        <f t="shared" si="45"/>
        <v>49</v>
      </c>
      <c r="J736" s="3" t="s">
        <v>27</v>
      </c>
      <c r="K736" s="4" t="s">
        <v>1919</v>
      </c>
      <c r="M736" s="5" t="s">
        <v>2241</v>
      </c>
      <c r="O736" s="4" t="s">
        <v>263</v>
      </c>
      <c r="P736" s="4">
        <v>155</v>
      </c>
      <c r="Q736" s="4">
        <v>76</v>
      </c>
      <c r="R736" s="4">
        <v>80</v>
      </c>
      <c r="V736" s="6" t="s">
        <v>2242</v>
      </c>
    </row>
    <row r="737" spans="2:22">
      <c r="B737" s="4" t="s">
        <v>1228</v>
      </c>
      <c r="C737" s="4" t="s">
        <v>1203</v>
      </c>
      <c r="E737" s="64" t="s">
        <v>2374</v>
      </c>
      <c r="F737" s="44">
        <v>27186</v>
      </c>
      <c r="G737" s="21">
        <f t="shared" si="44"/>
        <v>1974</v>
      </c>
      <c r="H737" s="4">
        <f t="shared" si="45"/>
        <v>52</v>
      </c>
      <c r="J737" s="3" t="s">
        <v>27</v>
      </c>
      <c r="K737" s="4" t="s">
        <v>1919</v>
      </c>
      <c r="L737" s="50" t="s">
        <v>2243</v>
      </c>
      <c r="M737" s="5" t="s">
        <v>2244</v>
      </c>
      <c r="O737" s="4" t="s">
        <v>113</v>
      </c>
      <c r="P737" s="4">
        <v>158</v>
      </c>
      <c r="Q737" s="4">
        <v>50</v>
      </c>
      <c r="R737" s="4">
        <v>80</v>
      </c>
      <c r="V737" s="6" t="s">
        <v>2245</v>
      </c>
    </row>
    <row r="738" spans="2:22">
      <c r="B738" s="4" t="s">
        <v>1228</v>
      </c>
      <c r="C738" s="4" t="s">
        <v>2246</v>
      </c>
      <c r="E738" s="64" t="s">
        <v>40</v>
      </c>
      <c r="F738" s="4" t="s">
        <v>2247</v>
      </c>
      <c r="G738" s="21" t="str">
        <f t="shared" ref="G738:G739" si="47">RIGHT(F738,4)</f>
        <v>1952</v>
      </c>
      <c r="H738" s="4">
        <f t="shared" si="45"/>
        <v>74</v>
      </c>
      <c r="J738" s="3" t="s">
        <v>27</v>
      </c>
      <c r="K738" s="4" t="s">
        <v>1932</v>
      </c>
      <c r="M738" s="5" t="s">
        <v>2248</v>
      </c>
      <c r="O738" s="4" t="s">
        <v>149</v>
      </c>
      <c r="P738" s="4">
        <v>155</v>
      </c>
      <c r="Q738" s="4">
        <v>40</v>
      </c>
      <c r="R738" s="4">
        <v>76</v>
      </c>
      <c r="V738" s="6" t="s">
        <v>2249</v>
      </c>
    </row>
    <row r="739" spans="2:22">
      <c r="B739" s="4" t="s">
        <v>1228</v>
      </c>
      <c r="C739" s="4" t="s">
        <v>105</v>
      </c>
      <c r="E739" s="64" t="s">
        <v>40</v>
      </c>
      <c r="F739" s="4" t="s">
        <v>2250</v>
      </c>
      <c r="G739" s="21" t="str">
        <f t="shared" si="47"/>
        <v>1958</v>
      </c>
      <c r="H739" s="4">
        <f t="shared" si="45"/>
        <v>68</v>
      </c>
      <c r="J739" s="3" t="s">
        <v>27</v>
      </c>
      <c r="K739" s="4" t="s">
        <v>1932</v>
      </c>
      <c r="L739" s="50" t="s">
        <v>2251</v>
      </c>
      <c r="M739" s="5" t="s">
        <v>2252</v>
      </c>
      <c r="O739" s="4" t="s">
        <v>104</v>
      </c>
      <c r="P739" s="4">
        <v>149</v>
      </c>
      <c r="Q739" s="4">
        <v>37</v>
      </c>
      <c r="R739" s="4">
        <v>76</v>
      </c>
      <c r="V739" s="6" t="s">
        <v>2253</v>
      </c>
    </row>
    <row r="740" spans="2:22">
      <c r="B740" s="4" t="s">
        <v>1228</v>
      </c>
      <c r="C740" s="4" t="s">
        <v>2254</v>
      </c>
      <c r="E740" s="64" t="s">
        <v>2374</v>
      </c>
      <c r="F740" s="44">
        <v>26827</v>
      </c>
      <c r="G740" s="21">
        <f t="shared" si="44"/>
        <v>1973</v>
      </c>
      <c r="H740" s="4">
        <f t="shared" si="45"/>
        <v>53</v>
      </c>
      <c r="J740" s="3" t="s">
        <v>27</v>
      </c>
      <c r="K740" s="4" t="s">
        <v>1932</v>
      </c>
      <c r="M740" s="5" t="s">
        <v>2255</v>
      </c>
      <c r="O740" s="4" t="s">
        <v>60</v>
      </c>
      <c r="P740" s="4">
        <v>152</v>
      </c>
      <c r="Q740" s="4">
        <v>55</v>
      </c>
      <c r="R740" s="4">
        <v>74</v>
      </c>
      <c r="V740" s="6" t="s">
        <v>2256</v>
      </c>
    </row>
    <row r="741" spans="2:22">
      <c r="B741" s="4" t="s">
        <v>1228</v>
      </c>
      <c r="C741" s="4" t="s">
        <v>2257</v>
      </c>
      <c r="E741" s="64" t="s">
        <v>40</v>
      </c>
      <c r="F741" s="4" t="s">
        <v>2258</v>
      </c>
      <c r="G741" s="21" t="str">
        <f>RIGHT(F741,4)</f>
        <v>1965</v>
      </c>
      <c r="H741" s="4">
        <f t="shared" si="45"/>
        <v>61</v>
      </c>
      <c r="K741" s="4" t="s">
        <v>1932</v>
      </c>
      <c r="M741" s="5" t="s">
        <v>2259</v>
      </c>
      <c r="O741" s="4" t="s">
        <v>288</v>
      </c>
      <c r="P741" s="4">
        <v>167</v>
      </c>
      <c r="Q741" s="4">
        <v>58</v>
      </c>
      <c r="R741" s="4">
        <v>100</v>
      </c>
      <c r="V741" s="6" t="s">
        <v>2260</v>
      </c>
    </row>
    <row r="742" spans="2:22">
      <c r="B742" s="4" t="s">
        <v>1228</v>
      </c>
      <c r="C742" s="4" t="s">
        <v>2261</v>
      </c>
      <c r="E742" s="64" t="s">
        <v>40</v>
      </c>
      <c r="F742" s="44">
        <v>23803</v>
      </c>
      <c r="G742" s="21">
        <f>YEAR(F742)</f>
        <v>1965</v>
      </c>
      <c r="H742" s="4">
        <f t="shared" si="45"/>
        <v>61</v>
      </c>
      <c r="I742" s="3" t="s">
        <v>27</v>
      </c>
      <c r="K742" s="4" t="s">
        <v>1932</v>
      </c>
      <c r="M742" s="5" t="s">
        <v>2262</v>
      </c>
      <c r="O742" s="4" t="s">
        <v>263</v>
      </c>
      <c r="P742" s="4">
        <v>155</v>
      </c>
      <c r="Q742" s="4">
        <v>46</v>
      </c>
      <c r="R742" s="4">
        <v>80</v>
      </c>
      <c r="V742" s="6" t="s">
        <v>1065</v>
      </c>
    </row>
    <row r="743" spans="2:22">
      <c r="B743" s="4" t="s">
        <v>1228</v>
      </c>
      <c r="C743" s="4" t="s">
        <v>2263</v>
      </c>
      <c r="E743" s="64" t="s">
        <v>40</v>
      </c>
      <c r="F743" s="4" t="s">
        <v>2264</v>
      </c>
      <c r="G743" s="21" t="str">
        <f>RIGHT(F743,4)</f>
        <v>1965</v>
      </c>
      <c r="H743" s="4">
        <f t="shared" si="45"/>
        <v>61</v>
      </c>
      <c r="I743" s="3" t="s">
        <v>27</v>
      </c>
      <c r="K743" s="4" t="s">
        <v>1919</v>
      </c>
      <c r="L743" s="50" t="s">
        <v>2265</v>
      </c>
      <c r="M743" s="5" t="s">
        <v>2266</v>
      </c>
      <c r="O743" s="4" t="s">
        <v>333</v>
      </c>
      <c r="P743" s="4">
        <v>169</v>
      </c>
      <c r="Q743" s="4">
        <v>63</v>
      </c>
      <c r="R743" s="4">
        <v>80</v>
      </c>
      <c r="V743" s="6" t="s">
        <v>2267</v>
      </c>
    </row>
    <row r="744" spans="2:22">
      <c r="B744" s="4" t="s">
        <v>1228</v>
      </c>
      <c r="C744" s="4" t="s">
        <v>2268</v>
      </c>
      <c r="E744" s="64" t="s">
        <v>40</v>
      </c>
      <c r="F744" s="44">
        <v>19088</v>
      </c>
      <c r="G744" s="21">
        <f t="shared" si="44"/>
        <v>1952</v>
      </c>
      <c r="H744" s="4">
        <f t="shared" si="45"/>
        <v>74</v>
      </c>
      <c r="J744" s="3" t="s">
        <v>27</v>
      </c>
      <c r="K744" s="4" t="s">
        <v>1919</v>
      </c>
      <c r="M744" s="5" t="s">
        <v>2269</v>
      </c>
      <c r="O744" s="4" t="s">
        <v>280</v>
      </c>
      <c r="P744" s="4">
        <v>147</v>
      </c>
      <c r="Q744" s="4">
        <v>34</v>
      </c>
      <c r="R744" s="4">
        <v>80</v>
      </c>
      <c r="V744" s="6" t="s">
        <v>2270</v>
      </c>
    </row>
    <row r="745" spans="2:22">
      <c r="B745" s="4" t="s">
        <v>1228</v>
      </c>
      <c r="C745" s="4" t="s">
        <v>2271</v>
      </c>
      <c r="E745" s="64" t="s">
        <v>40</v>
      </c>
      <c r="F745" s="44">
        <v>23651</v>
      </c>
      <c r="G745" s="21">
        <f t="shared" si="44"/>
        <v>1964</v>
      </c>
      <c r="H745" s="4">
        <f t="shared" si="45"/>
        <v>62</v>
      </c>
      <c r="I745" s="3" t="s">
        <v>27</v>
      </c>
      <c r="K745" s="4" t="s">
        <v>1919</v>
      </c>
      <c r="M745" s="5" t="s">
        <v>2272</v>
      </c>
      <c r="O745" s="4" t="s">
        <v>60</v>
      </c>
      <c r="P745" s="4">
        <v>161</v>
      </c>
      <c r="Q745" s="4">
        <v>51</v>
      </c>
      <c r="R745" s="4">
        <v>75</v>
      </c>
      <c r="V745" s="6" t="s">
        <v>2273</v>
      </c>
    </row>
    <row r="746" spans="2:22">
      <c r="B746" s="4" t="s">
        <v>1228</v>
      </c>
      <c r="C746" s="4" t="s">
        <v>2240</v>
      </c>
      <c r="E746" s="64" t="s">
        <v>40</v>
      </c>
      <c r="F746" s="44">
        <v>19948</v>
      </c>
      <c r="G746" s="21">
        <f t="shared" si="44"/>
        <v>1954</v>
      </c>
      <c r="H746" s="4">
        <f t="shared" si="45"/>
        <v>72</v>
      </c>
      <c r="J746" s="3" t="s">
        <v>27</v>
      </c>
      <c r="K746" s="4" t="s">
        <v>1932</v>
      </c>
      <c r="M746" s="5" t="s">
        <v>2274</v>
      </c>
      <c r="O746" s="4" t="s">
        <v>113</v>
      </c>
      <c r="P746" s="4">
        <v>160</v>
      </c>
      <c r="Q746" s="4">
        <v>52</v>
      </c>
      <c r="R746" s="4">
        <v>76</v>
      </c>
      <c r="V746" s="6" t="s">
        <v>2275</v>
      </c>
    </row>
    <row r="747" spans="2:22">
      <c r="B747" s="4" t="s">
        <v>1228</v>
      </c>
      <c r="C747" s="4" t="s">
        <v>2276</v>
      </c>
      <c r="E747" s="64" t="s">
        <v>40</v>
      </c>
      <c r="F747" s="44">
        <v>23468</v>
      </c>
      <c r="G747" s="21">
        <f t="shared" si="44"/>
        <v>1964</v>
      </c>
      <c r="H747" s="4">
        <f t="shared" si="45"/>
        <v>62</v>
      </c>
      <c r="J747" s="3" t="s">
        <v>27</v>
      </c>
      <c r="K747" s="4" t="s">
        <v>1932</v>
      </c>
      <c r="M747" s="5" t="s">
        <v>2277</v>
      </c>
      <c r="O747" s="4" t="s">
        <v>570</v>
      </c>
      <c r="P747" s="4">
        <v>155</v>
      </c>
      <c r="Q747" s="4">
        <v>62</v>
      </c>
      <c r="R747" s="4">
        <v>85</v>
      </c>
      <c r="V747" s="6" t="s">
        <v>2278</v>
      </c>
    </row>
    <row r="748" spans="2:22">
      <c r="B748" s="4" t="s">
        <v>1228</v>
      </c>
      <c r="C748" s="4" t="s">
        <v>2279</v>
      </c>
      <c r="E748" s="64" t="s">
        <v>40</v>
      </c>
      <c r="F748" s="44">
        <v>22197</v>
      </c>
      <c r="G748" s="21">
        <f t="shared" si="44"/>
        <v>1960</v>
      </c>
      <c r="H748" s="4">
        <f t="shared" si="45"/>
        <v>66</v>
      </c>
      <c r="I748" s="3" t="s">
        <v>27</v>
      </c>
      <c r="K748" s="4" t="s">
        <v>1932</v>
      </c>
      <c r="M748" s="5" t="s">
        <v>2280</v>
      </c>
      <c r="O748" s="4" t="s">
        <v>34</v>
      </c>
      <c r="P748" s="4">
        <v>165</v>
      </c>
      <c r="Q748" s="4">
        <v>45</v>
      </c>
      <c r="R748" s="4">
        <v>94</v>
      </c>
      <c r="V748" s="6" t="s">
        <v>2281</v>
      </c>
    </row>
    <row r="749" spans="2:22">
      <c r="B749" s="4" t="s">
        <v>1228</v>
      </c>
      <c r="C749" s="4" t="s">
        <v>2282</v>
      </c>
      <c r="E749" s="64" t="s">
        <v>40</v>
      </c>
      <c r="F749" s="44">
        <v>22621</v>
      </c>
      <c r="G749" s="21">
        <f t="shared" si="44"/>
        <v>1961</v>
      </c>
      <c r="H749" s="4">
        <f t="shared" si="45"/>
        <v>65</v>
      </c>
      <c r="J749" s="3" t="s">
        <v>27</v>
      </c>
      <c r="K749" s="4" t="s">
        <v>1932</v>
      </c>
      <c r="M749" s="5" t="s">
        <v>2283</v>
      </c>
      <c r="O749" s="4" t="s">
        <v>284</v>
      </c>
      <c r="R749" s="4">
        <v>92</v>
      </c>
      <c r="V749" s="6" t="s">
        <v>2284</v>
      </c>
    </row>
    <row r="750" spans="2:22">
      <c r="B750" s="4" t="s">
        <v>1228</v>
      </c>
      <c r="C750" s="4" t="s">
        <v>2285</v>
      </c>
      <c r="E750" s="4" t="s">
        <v>40</v>
      </c>
      <c r="F750" s="44">
        <v>23377</v>
      </c>
      <c r="G750" s="21">
        <f t="shared" si="44"/>
        <v>1964</v>
      </c>
      <c r="H750" s="4">
        <f t="shared" si="45"/>
        <v>62</v>
      </c>
      <c r="J750" s="3" t="s">
        <v>27</v>
      </c>
      <c r="K750" s="4" t="s">
        <v>1932</v>
      </c>
      <c r="M750" s="5" t="s">
        <v>2286</v>
      </c>
      <c r="O750" s="4" t="s">
        <v>288</v>
      </c>
      <c r="P750" s="4">
        <v>152</v>
      </c>
      <c r="Q750" s="4">
        <v>37</v>
      </c>
      <c r="R750" s="4">
        <v>81</v>
      </c>
      <c r="V750" s="6" t="s">
        <v>2287</v>
      </c>
    </row>
    <row r="751" spans="2:22">
      <c r="B751" s="4" t="s">
        <v>1228</v>
      </c>
      <c r="C751" s="4" t="s">
        <v>2288</v>
      </c>
      <c r="E751" s="64" t="s">
        <v>2374</v>
      </c>
      <c r="F751" s="44">
        <v>26397</v>
      </c>
      <c r="G751" s="21">
        <f t="shared" si="44"/>
        <v>1972</v>
      </c>
      <c r="H751" s="4">
        <f t="shared" si="45"/>
        <v>54</v>
      </c>
      <c r="J751" s="3" t="s">
        <v>27</v>
      </c>
      <c r="K751" s="4" t="s">
        <v>1932</v>
      </c>
      <c r="M751" s="5" t="s">
        <v>2289</v>
      </c>
      <c r="O751" s="4" t="s">
        <v>87</v>
      </c>
      <c r="P751" s="4">
        <v>157</v>
      </c>
      <c r="Q751" s="4">
        <v>54</v>
      </c>
      <c r="R751" s="4">
        <v>87</v>
      </c>
      <c r="V751" s="6" t="s">
        <v>2290</v>
      </c>
    </row>
    <row r="752" spans="2:22">
      <c r="B752" s="4" t="s">
        <v>1228</v>
      </c>
      <c r="C752" s="4" t="s">
        <v>2291</v>
      </c>
      <c r="E752" s="4" t="s">
        <v>40</v>
      </c>
      <c r="F752" s="44">
        <v>14279</v>
      </c>
      <c r="G752" s="21">
        <f t="shared" si="44"/>
        <v>1939</v>
      </c>
      <c r="H752" s="4">
        <f t="shared" si="45"/>
        <v>87</v>
      </c>
      <c r="I752" s="3" t="s">
        <v>27</v>
      </c>
      <c r="K752" s="4" t="s">
        <v>1932</v>
      </c>
      <c r="M752" s="5" t="s">
        <v>2292</v>
      </c>
      <c r="O752" s="4" t="s">
        <v>2293</v>
      </c>
      <c r="P752" s="4">
        <v>155</v>
      </c>
      <c r="Q752" s="4">
        <v>51</v>
      </c>
      <c r="R752" s="4">
        <v>58</v>
      </c>
      <c r="V752" s="6" t="s">
        <v>2294</v>
      </c>
    </row>
    <row r="753" spans="2:22">
      <c r="B753" s="4" t="s">
        <v>1228</v>
      </c>
      <c r="C753" s="4" t="s">
        <v>656</v>
      </c>
      <c r="E753" s="4" t="s">
        <v>40</v>
      </c>
      <c r="F753" s="44">
        <v>14642</v>
      </c>
      <c r="G753" s="21">
        <f t="shared" si="44"/>
        <v>1940</v>
      </c>
      <c r="H753" s="4">
        <f t="shared" si="45"/>
        <v>86</v>
      </c>
      <c r="J753" s="3" t="s">
        <v>27</v>
      </c>
      <c r="K753" s="4" t="s">
        <v>1932</v>
      </c>
      <c r="M753" s="5" t="s">
        <v>2295</v>
      </c>
      <c r="O753" s="4" t="s">
        <v>284</v>
      </c>
      <c r="P753" s="4">
        <v>150</v>
      </c>
      <c r="Q753" s="4">
        <v>52</v>
      </c>
      <c r="R753" s="4">
        <v>75</v>
      </c>
      <c r="V753" s="6" t="s">
        <v>2296</v>
      </c>
    </row>
    <row r="754" spans="2:22">
      <c r="B754" s="4" t="s">
        <v>1228</v>
      </c>
      <c r="C754" s="4" t="s">
        <v>2297</v>
      </c>
      <c r="E754" s="4" t="s">
        <v>40</v>
      </c>
      <c r="F754" s="4" t="s">
        <v>2298</v>
      </c>
      <c r="G754" s="21" t="str">
        <f>RIGHT(F754,4)</f>
        <v>1952</v>
      </c>
      <c r="H754" s="4">
        <f t="shared" si="45"/>
        <v>74</v>
      </c>
      <c r="J754" s="3" t="s">
        <v>27</v>
      </c>
      <c r="K754" s="4" t="s">
        <v>1919</v>
      </c>
      <c r="M754" s="5" t="s">
        <v>2299</v>
      </c>
      <c r="O754" s="4" t="s">
        <v>570</v>
      </c>
      <c r="P754" s="4">
        <v>146</v>
      </c>
      <c r="Q754" s="4">
        <v>49</v>
      </c>
      <c r="R754" s="4">
        <v>80</v>
      </c>
      <c r="V754" s="6" t="s">
        <v>2300</v>
      </c>
    </row>
    <row r="755" spans="2:22">
      <c r="B755" s="4" t="s">
        <v>1228</v>
      </c>
      <c r="C755" s="4" t="s">
        <v>2301</v>
      </c>
      <c r="E755" s="4" t="s">
        <v>40</v>
      </c>
      <c r="F755" s="44">
        <v>23171</v>
      </c>
      <c r="G755" s="21">
        <f t="shared" si="44"/>
        <v>1963</v>
      </c>
      <c r="H755" s="4">
        <f t="shared" si="45"/>
        <v>63</v>
      </c>
      <c r="I755" s="3" t="s">
        <v>27</v>
      </c>
      <c r="K755" s="4" t="s">
        <v>1919</v>
      </c>
      <c r="M755" s="5" t="s">
        <v>2302</v>
      </c>
      <c r="O755" s="4" t="s">
        <v>2303</v>
      </c>
      <c r="P755" s="4">
        <v>170</v>
      </c>
      <c r="Q755" s="4">
        <v>46</v>
      </c>
      <c r="R755" s="4">
        <v>100</v>
      </c>
      <c r="V755" s="6" t="s">
        <v>2304</v>
      </c>
    </row>
    <row r="756" spans="2:22">
      <c r="B756" s="4" t="s">
        <v>1228</v>
      </c>
      <c r="C756" s="4" t="s">
        <v>2305</v>
      </c>
      <c r="E756" s="64" t="s">
        <v>2374</v>
      </c>
      <c r="F756" s="44">
        <v>29347</v>
      </c>
      <c r="G756" s="21">
        <f t="shared" si="44"/>
        <v>1980</v>
      </c>
      <c r="H756" s="4">
        <f t="shared" si="45"/>
        <v>46</v>
      </c>
      <c r="J756" s="3" t="s">
        <v>27</v>
      </c>
      <c r="K756" s="4" t="s">
        <v>1932</v>
      </c>
      <c r="M756" s="5" t="s">
        <v>2306</v>
      </c>
      <c r="O756" s="4" t="s">
        <v>504</v>
      </c>
      <c r="P756" s="4">
        <v>152</v>
      </c>
      <c r="Q756" s="4">
        <v>56</v>
      </c>
      <c r="R756" s="4">
        <v>71</v>
      </c>
      <c r="V756" s="6" t="s">
        <v>2307</v>
      </c>
    </row>
    <row r="757" spans="2:22">
      <c r="B757" s="4" t="s">
        <v>1228</v>
      </c>
      <c r="C757" s="4" t="s">
        <v>2308</v>
      </c>
      <c r="E757" s="4" t="s">
        <v>40</v>
      </c>
      <c r="F757" s="44">
        <v>20090</v>
      </c>
      <c r="G757" s="21">
        <f t="shared" si="44"/>
        <v>1955</v>
      </c>
      <c r="H757" s="4">
        <f t="shared" si="45"/>
        <v>71</v>
      </c>
      <c r="I757" s="3" t="s">
        <v>27</v>
      </c>
      <c r="K757" s="4" t="s">
        <v>1932</v>
      </c>
      <c r="M757" s="5" t="s">
        <v>2309</v>
      </c>
      <c r="O757" s="4" t="s">
        <v>113</v>
      </c>
      <c r="P757" s="4">
        <v>155</v>
      </c>
      <c r="Q757" s="4">
        <v>49</v>
      </c>
      <c r="R757" s="4">
        <v>96</v>
      </c>
      <c r="V757" s="6" t="s">
        <v>2310</v>
      </c>
    </row>
    <row r="758" spans="2:22">
      <c r="B758" s="4" t="s">
        <v>1228</v>
      </c>
      <c r="C758" s="4" t="s">
        <v>2311</v>
      </c>
      <c r="E758" s="64" t="s">
        <v>2374</v>
      </c>
      <c r="F758" s="44">
        <v>24844</v>
      </c>
      <c r="G758" s="21">
        <f t="shared" si="44"/>
        <v>1968</v>
      </c>
      <c r="H758" s="4">
        <f t="shared" si="45"/>
        <v>58</v>
      </c>
      <c r="I758" s="3" t="s">
        <v>27</v>
      </c>
      <c r="K758" s="4" t="s">
        <v>1932</v>
      </c>
      <c r="M758" s="5" t="s">
        <v>2312</v>
      </c>
      <c r="O758" s="4" t="s">
        <v>570</v>
      </c>
      <c r="P758" s="4">
        <v>152</v>
      </c>
      <c r="Q758" s="4">
        <v>49</v>
      </c>
      <c r="R758" s="4">
        <v>84</v>
      </c>
      <c r="V758" s="6" t="s">
        <v>2313</v>
      </c>
    </row>
    <row r="759" spans="2:22">
      <c r="B759" s="4" t="s">
        <v>1228</v>
      </c>
      <c r="C759" s="4" t="s">
        <v>2314</v>
      </c>
      <c r="E759" s="4" t="s">
        <v>40</v>
      </c>
      <c r="F759" s="44">
        <v>20734</v>
      </c>
      <c r="G759" s="21">
        <f t="shared" si="44"/>
        <v>1956</v>
      </c>
      <c r="H759" s="4">
        <f t="shared" si="45"/>
        <v>70</v>
      </c>
      <c r="I759" s="3" t="s">
        <v>27</v>
      </c>
      <c r="K759" s="4" t="s">
        <v>1932</v>
      </c>
      <c r="M759" s="5" t="s">
        <v>2315</v>
      </c>
      <c r="O759" s="4" t="s">
        <v>284</v>
      </c>
      <c r="P759" s="4">
        <v>160</v>
      </c>
      <c r="Q759" s="4">
        <v>58</v>
      </c>
      <c r="R759" s="4">
        <v>84</v>
      </c>
      <c r="V759" s="6" t="s">
        <v>2316</v>
      </c>
    </row>
    <row r="760" spans="2:22">
      <c r="B760" s="4" t="s">
        <v>1228</v>
      </c>
      <c r="C760" s="4" t="s">
        <v>2317</v>
      </c>
      <c r="E760" s="4" t="s">
        <v>40</v>
      </c>
      <c r="F760" s="44">
        <v>14894</v>
      </c>
      <c r="G760" s="21">
        <f t="shared" si="44"/>
        <v>1940</v>
      </c>
      <c r="H760" s="4">
        <f t="shared" si="45"/>
        <v>86</v>
      </c>
      <c r="I760" s="3" t="s">
        <v>27</v>
      </c>
      <c r="K760" s="4" t="s">
        <v>1932</v>
      </c>
      <c r="M760" s="5" t="s">
        <v>2318</v>
      </c>
      <c r="O760" s="4" t="s">
        <v>275</v>
      </c>
      <c r="P760" s="4">
        <v>161</v>
      </c>
      <c r="Q760" s="4">
        <v>49</v>
      </c>
      <c r="R760" s="4">
        <v>72</v>
      </c>
      <c r="V760" s="6" t="s">
        <v>2319</v>
      </c>
    </row>
    <row r="761" spans="2:22">
      <c r="B761" s="4" t="s">
        <v>1228</v>
      </c>
      <c r="C761" s="4" t="s">
        <v>2320</v>
      </c>
      <c r="E761" s="4" t="s">
        <v>40</v>
      </c>
      <c r="F761" s="44">
        <v>17354</v>
      </c>
      <c r="G761" s="21">
        <f t="shared" si="44"/>
        <v>1947</v>
      </c>
      <c r="H761" s="4">
        <f t="shared" si="45"/>
        <v>79</v>
      </c>
      <c r="J761" s="3" t="s">
        <v>27</v>
      </c>
      <c r="K761" s="4" t="s">
        <v>1932</v>
      </c>
      <c r="M761" s="5" t="s">
        <v>2321</v>
      </c>
      <c r="O761" s="4" t="s">
        <v>104</v>
      </c>
      <c r="P761" s="4">
        <v>147</v>
      </c>
      <c r="Q761" s="4">
        <v>45</v>
      </c>
      <c r="R761" s="4">
        <v>89</v>
      </c>
      <c r="V761" s="6" t="s">
        <v>2322</v>
      </c>
    </row>
    <row r="762" spans="2:22">
      <c r="B762" s="4" t="s">
        <v>1228</v>
      </c>
      <c r="C762" s="4" t="s">
        <v>2323</v>
      </c>
      <c r="E762" s="4" t="s">
        <v>40</v>
      </c>
      <c r="F762" s="4" t="s">
        <v>2324</v>
      </c>
      <c r="G762" s="21" t="str">
        <f t="shared" ref="G762:G766" si="48">RIGHT(F762,4)</f>
        <v>1940</v>
      </c>
      <c r="H762" s="4">
        <f t="shared" si="45"/>
        <v>86</v>
      </c>
      <c r="I762" s="3" t="s">
        <v>27</v>
      </c>
      <c r="K762" s="4" t="s">
        <v>1932</v>
      </c>
      <c r="M762" s="5" t="s">
        <v>2325</v>
      </c>
      <c r="O762" s="4" t="s">
        <v>284</v>
      </c>
      <c r="P762" s="4">
        <v>165</v>
      </c>
      <c r="Q762" s="4">
        <v>39</v>
      </c>
      <c r="R762" s="4">
        <v>84</v>
      </c>
      <c r="V762" s="6" t="s">
        <v>2326</v>
      </c>
    </row>
    <row r="763" spans="2:22">
      <c r="B763" s="4" t="s">
        <v>1228</v>
      </c>
      <c r="C763" s="4" t="s">
        <v>2327</v>
      </c>
      <c r="E763" s="4" t="s">
        <v>40</v>
      </c>
      <c r="F763" s="4" t="s">
        <v>2328</v>
      </c>
      <c r="G763" s="21" t="str">
        <f t="shared" si="48"/>
        <v>1953</v>
      </c>
      <c r="H763" s="4">
        <f t="shared" si="45"/>
        <v>73</v>
      </c>
      <c r="J763" s="3" t="s">
        <v>27</v>
      </c>
      <c r="K763" s="4" t="s">
        <v>1919</v>
      </c>
      <c r="M763" s="5" t="s">
        <v>2329</v>
      </c>
      <c r="O763" s="4" t="s">
        <v>2330</v>
      </c>
      <c r="P763" s="4">
        <v>151</v>
      </c>
      <c r="Q763" s="4">
        <v>51</v>
      </c>
      <c r="R763" s="4">
        <v>84</v>
      </c>
      <c r="V763" s="6" t="s">
        <v>2331</v>
      </c>
    </row>
    <row r="764" spans="2:22">
      <c r="B764" s="4" t="s">
        <v>1228</v>
      </c>
      <c r="C764" s="4" t="s">
        <v>2332</v>
      </c>
      <c r="E764" s="4" t="s">
        <v>40</v>
      </c>
      <c r="F764" s="4" t="s">
        <v>2333</v>
      </c>
      <c r="G764" s="21" t="str">
        <f t="shared" si="48"/>
        <v>1953</v>
      </c>
      <c r="H764" s="4">
        <f t="shared" si="45"/>
        <v>73</v>
      </c>
      <c r="I764" s="3" t="s">
        <v>27</v>
      </c>
      <c r="K764" s="4" t="s">
        <v>1919</v>
      </c>
      <c r="M764" s="5" t="s">
        <v>2334</v>
      </c>
      <c r="O764" s="4" t="s">
        <v>280</v>
      </c>
      <c r="P764" s="4">
        <v>165</v>
      </c>
      <c r="Q764" s="4">
        <v>53</v>
      </c>
      <c r="R764" s="4">
        <v>60</v>
      </c>
      <c r="V764" s="6" t="s">
        <v>2335</v>
      </c>
    </row>
    <row r="765" spans="2:22">
      <c r="B765" s="4" t="s">
        <v>1228</v>
      </c>
      <c r="C765" s="4" t="s">
        <v>2336</v>
      </c>
      <c r="E765" s="4" t="s">
        <v>609</v>
      </c>
      <c r="F765" s="44">
        <v>27093</v>
      </c>
      <c r="G765" s="21">
        <f t="shared" si="44"/>
        <v>1974</v>
      </c>
      <c r="H765" s="4">
        <f t="shared" si="45"/>
        <v>52</v>
      </c>
      <c r="I765" s="3" t="s">
        <v>27</v>
      </c>
      <c r="K765" s="4" t="s">
        <v>1919</v>
      </c>
      <c r="M765" s="5" t="s">
        <v>2337</v>
      </c>
      <c r="P765" s="4">
        <v>155</v>
      </c>
      <c r="Q765" s="4">
        <v>45</v>
      </c>
      <c r="R765" s="4">
        <v>80</v>
      </c>
      <c r="V765" s="6" t="s">
        <v>2338</v>
      </c>
    </row>
    <row r="766" spans="2:22">
      <c r="B766" s="4" t="s">
        <v>1228</v>
      </c>
      <c r="C766" s="4" t="s">
        <v>2339</v>
      </c>
      <c r="E766" s="64" t="s">
        <v>2374</v>
      </c>
      <c r="F766" s="4" t="s">
        <v>2340</v>
      </c>
      <c r="G766" s="21" t="str">
        <f t="shared" si="48"/>
        <v>1973</v>
      </c>
      <c r="H766" s="4">
        <f t="shared" si="45"/>
        <v>53</v>
      </c>
      <c r="I766" s="3" t="s">
        <v>27</v>
      </c>
      <c r="K766" s="4" t="s">
        <v>1919</v>
      </c>
      <c r="M766" s="5" t="s">
        <v>2341</v>
      </c>
      <c r="O766" s="4" t="s">
        <v>34</v>
      </c>
      <c r="P766" s="4">
        <v>174</v>
      </c>
      <c r="Q766" s="4">
        <v>62</v>
      </c>
      <c r="R766" s="4">
        <v>80</v>
      </c>
      <c r="V766" s="6" t="s">
        <v>2342</v>
      </c>
    </row>
    <row r="767" spans="2:22">
      <c r="B767" s="4" t="s">
        <v>1228</v>
      </c>
      <c r="C767" s="4" t="s">
        <v>2343</v>
      </c>
      <c r="E767" s="4" t="s">
        <v>40</v>
      </c>
      <c r="F767" s="44">
        <v>17899</v>
      </c>
      <c r="G767" s="21">
        <f t="shared" si="44"/>
        <v>1949</v>
      </c>
      <c r="H767" s="4">
        <f t="shared" si="45"/>
        <v>77</v>
      </c>
      <c r="J767" s="3" t="s">
        <v>27</v>
      </c>
      <c r="K767" s="4" t="s">
        <v>1932</v>
      </c>
      <c r="L767" s="50" t="s">
        <v>2344</v>
      </c>
      <c r="M767" s="5" t="s">
        <v>2345</v>
      </c>
      <c r="O767" s="4" t="s">
        <v>284</v>
      </c>
      <c r="V767" s="6" t="s">
        <v>2346</v>
      </c>
    </row>
    <row r="768" spans="2:22">
      <c r="B768" s="4" t="s">
        <v>1228</v>
      </c>
      <c r="C768" s="4" t="s">
        <v>2347</v>
      </c>
      <c r="E768" s="64" t="s">
        <v>2374</v>
      </c>
      <c r="F768" s="44">
        <v>38143</v>
      </c>
      <c r="G768" s="21">
        <f t="shared" si="44"/>
        <v>2004</v>
      </c>
      <c r="H768" s="4">
        <f t="shared" si="45"/>
        <v>22</v>
      </c>
      <c r="I768" s="3" t="s">
        <v>27</v>
      </c>
      <c r="K768" s="4" t="s">
        <v>1919</v>
      </c>
      <c r="M768" s="5" t="s">
        <v>2348</v>
      </c>
      <c r="O768" s="4" t="s">
        <v>30</v>
      </c>
      <c r="P768" s="4">
        <v>165</v>
      </c>
      <c r="Q768" s="4">
        <v>67</v>
      </c>
      <c r="R768" s="4">
        <v>76</v>
      </c>
      <c r="V768" s="6" t="s">
        <v>2349</v>
      </c>
    </row>
    <row r="769" spans="2:22">
      <c r="B769" s="4" t="s">
        <v>1228</v>
      </c>
      <c r="C769" s="4" t="s">
        <v>2350</v>
      </c>
      <c r="E769" s="4" t="s">
        <v>40</v>
      </c>
      <c r="F769" s="4" t="s">
        <v>2351</v>
      </c>
      <c r="G769" s="21" t="str">
        <f t="shared" ref="G769:G773" si="49">RIGHT(F769,4)</f>
        <v>1966</v>
      </c>
      <c r="H769" s="4">
        <f t="shared" si="45"/>
        <v>60</v>
      </c>
      <c r="J769" s="3" t="s">
        <v>27</v>
      </c>
      <c r="K769" s="4" t="s">
        <v>1919</v>
      </c>
      <c r="M769" s="5" t="s">
        <v>2352</v>
      </c>
      <c r="O769" s="4" t="s">
        <v>143</v>
      </c>
      <c r="P769" s="4">
        <v>155</v>
      </c>
      <c r="Q769" s="4">
        <v>57</v>
      </c>
      <c r="R769" s="4">
        <v>75</v>
      </c>
      <c r="V769" s="6" t="s">
        <v>2353</v>
      </c>
    </row>
    <row r="770" spans="2:22">
      <c r="B770" s="4" t="s">
        <v>1228</v>
      </c>
      <c r="C770" s="4" t="s">
        <v>2354</v>
      </c>
      <c r="E770" s="64" t="s">
        <v>40</v>
      </c>
      <c r="F770" s="4" t="s">
        <v>2355</v>
      </c>
      <c r="G770" s="21" t="str">
        <f t="shared" si="49"/>
        <v>1957</v>
      </c>
      <c r="H770" s="4">
        <f t="shared" si="45"/>
        <v>69</v>
      </c>
      <c r="J770" s="3" t="s">
        <v>27</v>
      </c>
      <c r="K770" s="4" t="s">
        <v>1919</v>
      </c>
      <c r="M770" s="5" t="s">
        <v>2356</v>
      </c>
      <c r="O770" s="4" t="s">
        <v>104</v>
      </c>
      <c r="P770" s="4">
        <v>151</v>
      </c>
      <c r="Q770" s="4">
        <v>57</v>
      </c>
      <c r="R770" s="4">
        <v>80</v>
      </c>
      <c r="V770" s="6" t="s">
        <v>2357</v>
      </c>
    </row>
    <row r="771" spans="2:22">
      <c r="B771" s="4" t="s">
        <v>1228</v>
      </c>
      <c r="C771" s="4" t="s">
        <v>2358</v>
      </c>
      <c r="E771" s="64" t="s">
        <v>40</v>
      </c>
      <c r="F771" s="44">
        <v>24384</v>
      </c>
      <c r="G771" s="21">
        <f t="shared" si="44"/>
        <v>1966</v>
      </c>
      <c r="H771" s="4">
        <f t="shared" si="45"/>
        <v>60</v>
      </c>
      <c r="J771" s="3" t="s">
        <v>27</v>
      </c>
      <c r="K771" s="4" t="s">
        <v>1919</v>
      </c>
      <c r="M771" s="5" t="s">
        <v>2359</v>
      </c>
      <c r="O771" s="4" t="s">
        <v>34</v>
      </c>
      <c r="P771" s="4">
        <v>145</v>
      </c>
      <c r="Q771" s="4">
        <v>40</v>
      </c>
      <c r="R771" s="4">
        <v>80</v>
      </c>
      <c r="V771" s="6" t="s">
        <v>2360</v>
      </c>
    </row>
    <row r="772" spans="2:22">
      <c r="B772" s="4" t="s">
        <v>1228</v>
      </c>
      <c r="C772" s="4" t="s">
        <v>2361</v>
      </c>
      <c r="E772" s="64" t="s">
        <v>2374</v>
      </c>
      <c r="F772" s="44">
        <v>25569</v>
      </c>
      <c r="G772" s="21">
        <f t="shared" si="44"/>
        <v>1970</v>
      </c>
      <c r="H772" s="4">
        <f t="shared" si="45"/>
        <v>56</v>
      </c>
      <c r="I772" s="3" t="s">
        <v>27</v>
      </c>
      <c r="K772" s="4" t="s">
        <v>1919</v>
      </c>
      <c r="M772" s="5" t="s">
        <v>2362</v>
      </c>
      <c r="O772" s="4" t="s">
        <v>60</v>
      </c>
      <c r="P772" s="4">
        <v>160</v>
      </c>
      <c r="Q772" s="4">
        <v>45</v>
      </c>
      <c r="R772" s="4">
        <v>80</v>
      </c>
      <c r="V772" s="6" t="s">
        <v>2363</v>
      </c>
    </row>
    <row r="773" spans="2:22">
      <c r="B773" s="4" t="s">
        <v>1228</v>
      </c>
      <c r="C773" s="4" t="s">
        <v>2364</v>
      </c>
      <c r="E773" s="64" t="s">
        <v>2374</v>
      </c>
      <c r="F773" s="4" t="s">
        <v>2365</v>
      </c>
      <c r="G773" s="21" t="str">
        <f t="shared" si="49"/>
        <v>1991</v>
      </c>
      <c r="H773" s="4">
        <f t="shared" si="45"/>
        <v>35</v>
      </c>
      <c r="I773" s="3" t="s">
        <v>27</v>
      </c>
      <c r="K773" s="4" t="s">
        <v>1919</v>
      </c>
      <c r="M773" s="5" t="s">
        <v>2366</v>
      </c>
      <c r="O773" s="4" t="s">
        <v>87</v>
      </c>
      <c r="P773" s="4">
        <v>165</v>
      </c>
      <c r="Q773" s="4">
        <v>55</v>
      </c>
      <c r="R773" s="4">
        <v>80</v>
      </c>
      <c r="V773" s="6" t="s">
        <v>2367</v>
      </c>
    </row>
    <row r="774" spans="2:22">
      <c r="B774" s="4" t="s">
        <v>1228</v>
      </c>
      <c r="C774" s="4" t="s">
        <v>2368</v>
      </c>
      <c r="E774" s="64" t="s">
        <v>2374</v>
      </c>
      <c r="F774" s="4" t="s">
        <v>2369</v>
      </c>
      <c r="G774" s="21" t="str">
        <f>RIGHT(F774,4)</f>
        <v>1995</v>
      </c>
      <c r="H774" s="4">
        <f t="shared" si="45"/>
        <v>31</v>
      </c>
      <c r="I774" s="3" t="s">
        <v>27</v>
      </c>
      <c r="K774" s="4" t="s">
        <v>1919</v>
      </c>
      <c r="M774" s="5" t="s">
        <v>2370</v>
      </c>
      <c r="P774" s="4">
        <v>165</v>
      </c>
      <c r="Q774" s="4">
        <v>59</v>
      </c>
      <c r="V774" s="6" t="s">
        <v>604</v>
      </c>
    </row>
    <row r="775" spans="2:22">
      <c r="B775" s="4" t="s">
        <v>1228</v>
      </c>
      <c r="C775" s="4" t="s">
        <v>2371</v>
      </c>
      <c r="E775" s="64" t="s">
        <v>2374</v>
      </c>
      <c r="F775" s="44">
        <v>28767</v>
      </c>
      <c r="G775" s="21">
        <f t="shared" si="44"/>
        <v>1978</v>
      </c>
      <c r="H775" s="4">
        <f t="shared" si="45"/>
        <v>48</v>
      </c>
      <c r="J775" s="3" t="s">
        <v>27</v>
      </c>
      <c r="K775" s="4" t="s">
        <v>1919</v>
      </c>
      <c r="M775" s="5" t="s">
        <v>2372</v>
      </c>
      <c r="V775" s="6" t="s">
        <v>2373</v>
      </c>
    </row>
    <row r="776" spans="2:22">
      <c r="G776" s="21">
        <f t="shared" si="44"/>
        <v>1900</v>
      </c>
      <c r="H776" s="4">
        <f t="shared" si="45"/>
        <v>126</v>
      </c>
    </row>
    <row r="777" spans="2:22">
      <c r="G777" s="21">
        <f t="shared" si="44"/>
        <v>1900</v>
      </c>
      <c r="H777" s="4">
        <f t="shared" si="45"/>
        <v>126</v>
      </c>
    </row>
    <row r="778" spans="2:22">
      <c r="G778" s="21">
        <f t="shared" si="44"/>
        <v>1900</v>
      </c>
      <c r="H778" s="4">
        <f t="shared" si="45"/>
        <v>126</v>
      </c>
    </row>
    <row r="779" spans="2:22">
      <c r="G779" s="21">
        <f t="shared" si="44"/>
        <v>1900</v>
      </c>
      <c r="H779" s="4">
        <f t="shared" si="45"/>
        <v>126</v>
      </c>
    </row>
    <row r="780" spans="2:22">
      <c r="G780" s="21">
        <f t="shared" si="44"/>
        <v>1900</v>
      </c>
      <c r="H780" s="4">
        <f t="shared" si="45"/>
        <v>126</v>
      </c>
    </row>
    <row r="781" spans="2:22">
      <c r="G781" s="21">
        <f t="shared" si="44"/>
        <v>1900</v>
      </c>
      <c r="H781" s="4">
        <f t="shared" si="45"/>
        <v>126</v>
      </c>
    </row>
    <row r="782" spans="2:22">
      <c r="G782" s="21">
        <f t="shared" si="44"/>
        <v>1900</v>
      </c>
      <c r="H782" s="4">
        <f t="shared" si="45"/>
        <v>126</v>
      </c>
    </row>
    <row r="783" spans="2:22">
      <c r="G783" s="21">
        <f t="shared" si="44"/>
        <v>1900</v>
      </c>
      <c r="H783" s="4">
        <f t="shared" si="45"/>
        <v>126</v>
      </c>
    </row>
    <row r="784" spans="2:22">
      <c r="G784" s="21">
        <f t="shared" si="44"/>
        <v>1900</v>
      </c>
      <c r="H784" s="4">
        <f t="shared" si="45"/>
        <v>126</v>
      </c>
    </row>
    <row r="785" spans="7:8">
      <c r="G785" s="21">
        <f t="shared" si="44"/>
        <v>1900</v>
      </c>
      <c r="H785" s="4">
        <f t="shared" si="45"/>
        <v>126</v>
      </c>
    </row>
    <row r="786" spans="7:8">
      <c r="G786" s="21">
        <f t="shared" si="44"/>
        <v>1900</v>
      </c>
      <c r="H786" s="4">
        <f t="shared" si="45"/>
        <v>126</v>
      </c>
    </row>
  </sheetData>
  <mergeCells count="5">
    <mergeCell ref="A1:F1"/>
    <mergeCell ref="A4:U4"/>
    <mergeCell ref="A6:M6"/>
    <mergeCell ref="A7:M7"/>
    <mergeCell ref="I9:J9"/>
  </mergeCells>
  <conditionalFormatting sqref="C1:D1048576">
    <cfRule type="duplicateValues" dxfId="12" priority="1"/>
  </conditionalFormatting>
  <dataValidations count="1">
    <dataValidation allowBlank="1" showInputMessage="1" showErrorMessage="1" promptTitle="Hướng dẫn" prompt="Định dạng: dd/MM/yyyy" sqref="F445" xr:uid="{00000000-0002-0000-0000-000000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07D4-048A-46A0-9F19-D505CF144616}">
  <sheetPr filterMode="1"/>
  <dimension ref="A1:X187"/>
  <sheetViews>
    <sheetView workbookViewId="0">
      <selection sqref="A1:XFD2"/>
    </sheetView>
  </sheetViews>
  <sheetFormatPr defaultColWidth="30.85546875" defaultRowHeight="15"/>
  <cols>
    <col min="1" max="1" width="7.5703125" customWidth="1"/>
    <col min="2" max="2" width="17.5703125" customWidth="1"/>
    <col min="3" max="3" width="26.42578125" customWidth="1"/>
  </cols>
  <sheetData>
    <row r="1" spans="1:22" s="1" customFormat="1" ht="57">
      <c r="A1" s="9" t="s">
        <v>4</v>
      </c>
      <c r="B1" s="9" t="s">
        <v>5</v>
      </c>
      <c r="C1" s="9" t="s">
        <v>6</v>
      </c>
      <c r="D1" s="9"/>
      <c r="E1" s="10" t="s">
        <v>7</v>
      </c>
      <c r="F1" s="9" t="s">
        <v>8</v>
      </c>
      <c r="G1" s="11" t="s">
        <v>9</v>
      </c>
      <c r="H1" s="11" t="s">
        <v>10</v>
      </c>
      <c r="I1" s="69" t="s">
        <v>11</v>
      </c>
      <c r="J1" s="70"/>
      <c r="K1" s="9" t="s">
        <v>12</v>
      </c>
      <c r="L1" s="13" t="s">
        <v>13</v>
      </c>
      <c r="M1" s="13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</row>
    <row r="2" spans="1:22" s="1" customFormat="1" ht="14.25">
      <c r="A2" s="11"/>
      <c r="B2" s="16"/>
      <c r="C2" s="12"/>
      <c r="D2" s="12"/>
      <c r="E2" s="10"/>
      <c r="F2" s="9"/>
      <c r="G2" s="11"/>
      <c r="H2" s="11"/>
      <c r="I2" s="11" t="s">
        <v>24</v>
      </c>
      <c r="J2" s="12" t="s">
        <v>25</v>
      </c>
      <c r="K2" s="9"/>
      <c r="L2" s="13"/>
      <c r="M2" s="13"/>
      <c r="N2" s="10"/>
      <c r="O2" s="10"/>
      <c r="P2" s="10"/>
      <c r="Q2" s="10"/>
      <c r="R2" s="14"/>
      <c r="S2" s="14"/>
      <c r="T2" s="14"/>
      <c r="U2" s="14"/>
      <c r="V2" s="15"/>
    </row>
    <row r="3" spans="1:22" s="1" customFormat="1" hidden="1">
      <c r="A3" s="17">
        <v>1</v>
      </c>
      <c r="B3" s="18">
        <v>46032</v>
      </c>
      <c r="C3" s="19" t="s">
        <v>26</v>
      </c>
      <c r="D3" s="71" t="s">
        <v>2378</v>
      </c>
      <c r="E3" s="20" t="s">
        <v>2374</v>
      </c>
      <c r="F3" s="21">
        <v>23071970</v>
      </c>
      <c r="G3" s="21" t="str">
        <f t="shared" ref="G3:G66" si="0">RIGHT(F3,4)</f>
        <v>1970</v>
      </c>
      <c r="H3" s="22">
        <f t="shared" ref="H3:H66" si="1">2026-G3</f>
        <v>56</v>
      </c>
      <c r="I3" s="23"/>
      <c r="J3" s="24" t="s">
        <v>27</v>
      </c>
      <c r="K3" s="6" t="s">
        <v>28</v>
      </c>
      <c r="L3" s="25"/>
      <c r="M3" s="45" t="s">
        <v>29</v>
      </c>
      <c r="N3" s="6"/>
      <c r="O3" s="6" t="s">
        <v>30</v>
      </c>
      <c r="P3" s="6">
        <v>155</v>
      </c>
      <c r="Q3" s="6">
        <v>51</v>
      </c>
      <c r="R3" s="26">
        <v>77</v>
      </c>
      <c r="S3" s="26">
        <v>8</v>
      </c>
      <c r="T3" s="26">
        <v>9</v>
      </c>
      <c r="U3" s="26"/>
      <c r="V3" s="6"/>
    </row>
    <row r="4" spans="1:22" s="4" customFormat="1" hidden="1">
      <c r="A4" s="20">
        <v>2</v>
      </c>
      <c r="B4" s="27">
        <v>46032</v>
      </c>
      <c r="C4" s="6" t="s">
        <v>31</v>
      </c>
      <c r="D4" s="71" t="s">
        <v>2379</v>
      </c>
      <c r="E4" s="20" t="s">
        <v>40</v>
      </c>
      <c r="F4" s="21">
        <v>10091947</v>
      </c>
      <c r="G4" s="21" t="str">
        <f t="shared" si="0"/>
        <v>1947</v>
      </c>
      <c r="H4" s="22">
        <f t="shared" si="1"/>
        <v>79</v>
      </c>
      <c r="I4" s="23"/>
      <c r="J4" s="20" t="s">
        <v>27</v>
      </c>
      <c r="K4" s="6" t="s">
        <v>32</v>
      </c>
      <c r="L4" s="25"/>
      <c r="M4" s="45" t="s">
        <v>33</v>
      </c>
      <c r="N4" s="6"/>
      <c r="O4" s="6" t="s">
        <v>34</v>
      </c>
      <c r="P4" s="6">
        <v>140</v>
      </c>
      <c r="Q4" s="6">
        <v>55</v>
      </c>
      <c r="R4" s="26">
        <v>82</v>
      </c>
      <c r="S4" s="26">
        <v>10</v>
      </c>
      <c r="T4" s="26">
        <v>10</v>
      </c>
      <c r="U4" s="26"/>
      <c r="V4" s="6"/>
    </row>
    <row r="5" spans="1:22" s="4" customFormat="1" hidden="1">
      <c r="A5" s="17">
        <v>3</v>
      </c>
      <c r="B5" s="27">
        <v>46032</v>
      </c>
      <c r="C5" s="6" t="s">
        <v>35</v>
      </c>
      <c r="D5" s="71" t="s">
        <v>2380</v>
      </c>
      <c r="E5" s="20" t="s">
        <v>40</v>
      </c>
      <c r="F5" s="21">
        <v>10051962</v>
      </c>
      <c r="G5" s="21" t="str">
        <f t="shared" si="0"/>
        <v>1962</v>
      </c>
      <c r="H5" s="22">
        <f t="shared" si="1"/>
        <v>64</v>
      </c>
      <c r="I5" s="23"/>
      <c r="J5" s="20" t="s">
        <v>27</v>
      </c>
      <c r="K5" s="6" t="s">
        <v>32</v>
      </c>
      <c r="L5" s="45" t="s">
        <v>36</v>
      </c>
      <c r="M5" s="45" t="s">
        <v>37</v>
      </c>
      <c r="N5" s="6"/>
      <c r="O5" s="6" t="s">
        <v>38</v>
      </c>
      <c r="P5" s="6">
        <v>155</v>
      </c>
      <c r="Q5" s="6">
        <v>59</v>
      </c>
      <c r="R5" s="26">
        <v>70</v>
      </c>
      <c r="S5" s="26">
        <v>5</v>
      </c>
      <c r="T5" s="26">
        <v>4</v>
      </c>
      <c r="U5" s="26"/>
      <c r="V5" s="6"/>
    </row>
    <row r="6" spans="1:22" s="4" customFormat="1" hidden="1">
      <c r="A6" s="20">
        <v>4</v>
      </c>
      <c r="B6" s="27">
        <v>46032</v>
      </c>
      <c r="C6" s="6" t="s">
        <v>39</v>
      </c>
      <c r="D6" s="71" t="s">
        <v>2381</v>
      </c>
      <c r="E6" s="20" t="s">
        <v>40</v>
      </c>
      <c r="F6" s="21">
        <v>15051948</v>
      </c>
      <c r="G6" s="21" t="str">
        <f t="shared" si="0"/>
        <v>1948</v>
      </c>
      <c r="H6" s="22">
        <f t="shared" si="1"/>
        <v>78</v>
      </c>
      <c r="I6" s="23" t="s">
        <v>27</v>
      </c>
      <c r="J6" s="20"/>
      <c r="K6" s="6"/>
      <c r="L6" s="25"/>
      <c r="M6" s="45" t="s">
        <v>41</v>
      </c>
      <c r="N6" s="6"/>
      <c r="O6" s="6" t="s">
        <v>42</v>
      </c>
      <c r="P6" s="6">
        <v>155</v>
      </c>
      <c r="Q6" s="6">
        <v>50</v>
      </c>
      <c r="R6" s="26">
        <v>74</v>
      </c>
      <c r="S6" s="26">
        <v>7</v>
      </c>
      <c r="T6" s="26">
        <v>7</v>
      </c>
      <c r="U6" s="26"/>
      <c r="V6" s="6"/>
    </row>
    <row r="7" spans="1:22" s="4" customFormat="1" hidden="1">
      <c r="A7" s="17">
        <v>5</v>
      </c>
      <c r="B7" s="27">
        <v>46032</v>
      </c>
      <c r="C7" s="6" t="s">
        <v>43</v>
      </c>
      <c r="D7" s="71" t="s">
        <v>2378</v>
      </c>
      <c r="E7" s="20" t="s">
        <v>40</v>
      </c>
      <c r="F7" s="21">
        <v>1021953</v>
      </c>
      <c r="G7" s="21" t="str">
        <f t="shared" si="0"/>
        <v>1953</v>
      </c>
      <c r="H7" s="22">
        <f t="shared" si="1"/>
        <v>73</v>
      </c>
      <c r="I7" s="23"/>
      <c r="J7" s="20" t="s">
        <v>27</v>
      </c>
      <c r="K7" s="6" t="s">
        <v>32</v>
      </c>
      <c r="L7" s="25"/>
      <c r="M7" s="45" t="s">
        <v>44</v>
      </c>
      <c r="N7" s="6"/>
      <c r="O7" s="6" t="s">
        <v>45</v>
      </c>
      <c r="P7" s="6">
        <v>150</v>
      </c>
      <c r="Q7" s="6">
        <v>45</v>
      </c>
      <c r="R7" s="26">
        <v>81</v>
      </c>
      <c r="S7" s="26">
        <v>5</v>
      </c>
      <c r="T7" s="26">
        <v>7</v>
      </c>
      <c r="U7" s="26"/>
      <c r="V7" s="6"/>
    </row>
    <row r="8" spans="1:22" s="4" customFormat="1" hidden="1">
      <c r="A8" s="20">
        <v>6</v>
      </c>
      <c r="B8" s="27">
        <v>46032</v>
      </c>
      <c r="C8" s="6" t="s">
        <v>46</v>
      </c>
      <c r="D8" s="71" t="s">
        <v>2379</v>
      </c>
      <c r="E8" s="20" t="s">
        <v>2374</v>
      </c>
      <c r="F8" s="21">
        <v>1011971</v>
      </c>
      <c r="G8" s="21" t="str">
        <f t="shared" si="0"/>
        <v>1971</v>
      </c>
      <c r="H8" s="22">
        <f t="shared" si="1"/>
        <v>55</v>
      </c>
      <c r="I8" s="23"/>
      <c r="J8" s="20" t="s">
        <v>27</v>
      </c>
      <c r="K8" s="6" t="s">
        <v>32</v>
      </c>
      <c r="L8" s="25"/>
      <c r="M8" s="45" t="s">
        <v>47</v>
      </c>
      <c r="N8" s="6"/>
      <c r="O8" s="6" t="s">
        <v>48</v>
      </c>
      <c r="P8" s="6">
        <v>150</v>
      </c>
      <c r="Q8" s="6">
        <v>38</v>
      </c>
      <c r="R8" s="26">
        <v>89</v>
      </c>
      <c r="S8" s="26">
        <v>7</v>
      </c>
      <c r="T8" s="26">
        <v>8</v>
      </c>
      <c r="U8" s="26"/>
      <c r="V8" s="6"/>
    </row>
    <row r="9" spans="1:22" s="4" customFormat="1" hidden="1">
      <c r="A9" s="17">
        <v>7</v>
      </c>
      <c r="B9" s="27">
        <v>46032</v>
      </c>
      <c r="C9" s="6" t="s">
        <v>49</v>
      </c>
      <c r="D9" s="71" t="s">
        <v>2381</v>
      </c>
      <c r="E9" s="20" t="s">
        <v>2374</v>
      </c>
      <c r="F9" s="21">
        <v>19081980</v>
      </c>
      <c r="G9" s="21" t="str">
        <f t="shared" si="0"/>
        <v>1980</v>
      </c>
      <c r="H9" s="22">
        <f t="shared" si="1"/>
        <v>46</v>
      </c>
      <c r="I9" s="23" t="s">
        <v>27</v>
      </c>
      <c r="J9" s="20"/>
      <c r="K9" s="6" t="s">
        <v>32</v>
      </c>
      <c r="L9" s="25"/>
      <c r="M9" s="45" t="s">
        <v>50</v>
      </c>
      <c r="N9" s="6"/>
      <c r="O9" s="6" t="s">
        <v>51</v>
      </c>
      <c r="P9" s="6">
        <v>175</v>
      </c>
      <c r="Q9" s="6">
        <v>73</v>
      </c>
      <c r="R9" s="26">
        <v>74</v>
      </c>
      <c r="S9" s="26">
        <v>8</v>
      </c>
      <c r="T9" s="26">
        <v>9</v>
      </c>
      <c r="U9" s="26"/>
      <c r="V9" s="6"/>
    </row>
    <row r="10" spans="1:22" s="4" customFormat="1" hidden="1">
      <c r="A10" s="20">
        <v>8</v>
      </c>
      <c r="B10" s="27">
        <v>46032</v>
      </c>
      <c r="C10" s="6" t="s">
        <v>52</v>
      </c>
      <c r="D10" s="71" t="s">
        <v>2380</v>
      </c>
      <c r="E10" s="20" t="s">
        <v>2374</v>
      </c>
      <c r="F10" s="21">
        <v>20111967</v>
      </c>
      <c r="G10" s="21" t="str">
        <f t="shared" si="0"/>
        <v>1967</v>
      </c>
      <c r="H10" s="22">
        <f t="shared" si="1"/>
        <v>59</v>
      </c>
      <c r="I10" s="23"/>
      <c r="J10" s="20" t="s">
        <v>27</v>
      </c>
      <c r="K10" s="6" t="s">
        <v>32</v>
      </c>
      <c r="L10" s="25"/>
      <c r="M10" s="45" t="s">
        <v>53</v>
      </c>
      <c r="N10" s="6"/>
      <c r="O10" s="6" t="s">
        <v>54</v>
      </c>
      <c r="P10" s="6">
        <v>145</v>
      </c>
      <c r="Q10" s="6">
        <v>52</v>
      </c>
      <c r="R10" s="26">
        <v>56</v>
      </c>
      <c r="S10" s="26">
        <v>7</v>
      </c>
      <c r="T10" s="26">
        <v>6</v>
      </c>
      <c r="U10" s="26"/>
      <c r="V10" s="6"/>
    </row>
    <row r="11" spans="1:22" s="4" customFormat="1" hidden="1">
      <c r="A11" s="17">
        <v>9</v>
      </c>
      <c r="B11" s="27">
        <v>46032</v>
      </c>
      <c r="C11" s="6" t="s">
        <v>55</v>
      </c>
      <c r="D11" s="71" t="s">
        <v>2382</v>
      </c>
      <c r="E11" s="20" t="s">
        <v>2374</v>
      </c>
      <c r="F11" s="21">
        <v>11101985</v>
      </c>
      <c r="G11" s="21" t="str">
        <f t="shared" si="0"/>
        <v>1985</v>
      </c>
      <c r="H11" s="22">
        <f t="shared" si="1"/>
        <v>41</v>
      </c>
      <c r="I11" s="23"/>
      <c r="J11" s="20" t="s">
        <v>27</v>
      </c>
      <c r="K11" s="6" t="s">
        <v>32</v>
      </c>
      <c r="L11" s="25"/>
      <c r="M11" s="45" t="s">
        <v>56</v>
      </c>
      <c r="N11" s="6"/>
      <c r="O11" s="6" t="s">
        <v>57</v>
      </c>
      <c r="P11" s="6">
        <v>160</v>
      </c>
      <c r="Q11" s="6">
        <v>65</v>
      </c>
      <c r="R11" s="26">
        <v>76</v>
      </c>
      <c r="S11" s="26">
        <v>9</v>
      </c>
      <c r="T11" s="26">
        <v>9</v>
      </c>
      <c r="U11" s="26"/>
      <c r="V11" s="6"/>
    </row>
    <row r="12" spans="1:22" s="4" customFormat="1" hidden="1">
      <c r="A12" s="20">
        <v>10</v>
      </c>
      <c r="B12" s="27">
        <v>46032</v>
      </c>
      <c r="C12" s="6" t="s">
        <v>58</v>
      </c>
      <c r="D12" s="71" t="s">
        <v>2383</v>
      </c>
      <c r="E12" s="20" t="s">
        <v>40</v>
      </c>
      <c r="F12" s="21">
        <v>4061966</v>
      </c>
      <c r="G12" s="21" t="str">
        <f t="shared" si="0"/>
        <v>1966</v>
      </c>
      <c r="H12" s="22">
        <f t="shared" si="1"/>
        <v>60</v>
      </c>
      <c r="I12" s="23"/>
      <c r="J12" s="20" t="s">
        <v>27</v>
      </c>
      <c r="K12" s="6" t="s">
        <v>32</v>
      </c>
      <c r="L12" s="25"/>
      <c r="M12" s="45" t="s">
        <v>59</v>
      </c>
      <c r="N12" s="6"/>
      <c r="O12" s="6" t="s">
        <v>60</v>
      </c>
      <c r="P12" s="6">
        <v>150</v>
      </c>
      <c r="Q12" s="6">
        <v>39</v>
      </c>
      <c r="R12" s="26">
        <v>76</v>
      </c>
      <c r="S12" s="26">
        <v>6</v>
      </c>
      <c r="T12" s="26">
        <v>6</v>
      </c>
      <c r="U12" s="26"/>
      <c r="V12" s="6"/>
    </row>
    <row r="13" spans="1:22" s="4" customFormat="1" hidden="1">
      <c r="A13" s="17">
        <v>11</v>
      </c>
      <c r="B13" s="27">
        <v>46032</v>
      </c>
      <c r="C13" s="6" t="s">
        <v>61</v>
      </c>
      <c r="D13" s="71" t="s">
        <v>2384</v>
      </c>
      <c r="E13" s="20" t="s">
        <v>2374</v>
      </c>
      <c r="F13" s="21">
        <v>22092004</v>
      </c>
      <c r="G13" s="21" t="str">
        <f t="shared" si="0"/>
        <v>2004</v>
      </c>
      <c r="H13" s="22">
        <f t="shared" si="1"/>
        <v>22</v>
      </c>
      <c r="I13" s="23"/>
      <c r="J13" s="20" t="s">
        <v>27</v>
      </c>
      <c r="K13" s="6" t="s">
        <v>32</v>
      </c>
      <c r="L13" s="25"/>
      <c r="M13" s="45" t="s">
        <v>62</v>
      </c>
      <c r="N13" s="6"/>
      <c r="O13" s="6" t="s">
        <v>63</v>
      </c>
      <c r="P13" s="6">
        <v>149</v>
      </c>
      <c r="Q13" s="6">
        <v>38</v>
      </c>
      <c r="R13" s="26">
        <v>91</v>
      </c>
      <c r="S13" s="26">
        <v>10</v>
      </c>
      <c r="T13" s="26">
        <v>10</v>
      </c>
      <c r="U13" s="26"/>
      <c r="V13" s="6"/>
    </row>
    <row r="14" spans="1:22" s="4" customFormat="1" hidden="1">
      <c r="A14" s="20">
        <v>12</v>
      </c>
      <c r="B14" s="27">
        <v>46032</v>
      </c>
      <c r="C14" s="6" t="s">
        <v>64</v>
      </c>
      <c r="D14" s="71" t="s">
        <v>2385</v>
      </c>
      <c r="E14" s="20" t="s">
        <v>40</v>
      </c>
      <c r="F14" s="21">
        <v>20061948</v>
      </c>
      <c r="G14" s="21" t="str">
        <f t="shared" si="0"/>
        <v>1948</v>
      </c>
      <c r="H14" s="22">
        <f t="shared" si="1"/>
        <v>78</v>
      </c>
      <c r="I14" s="23" t="s">
        <v>27</v>
      </c>
      <c r="J14" s="20"/>
      <c r="K14" s="6" t="s">
        <v>32</v>
      </c>
      <c r="L14" s="25"/>
      <c r="M14" s="45" t="s">
        <v>65</v>
      </c>
      <c r="N14" s="6"/>
      <c r="O14" s="6" t="s">
        <v>66</v>
      </c>
      <c r="P14" s="6">
        <v>160</v>
      </c>
      <c r="Q14" s="6">
        <v>68</v>
      </c>
      <c r="R14" s="26">
        <v>73</v>
      </c>
      <c r="S14" s="26">
        <v>4</v>
      </c>
      <c r="T14" s="26">
        <v>4</v>
      </c>
      <c r="U14" s="26"/>
      <c r="V14" s="6"/>
    </row>
    <row r="15" spans="1:22" s="4" customFormat="1" hidden="1">
      <c r="A15" s="17">
        <v>13</v>
      </c>
      <c r="B15" s="27">
        <v>46032</v>
      </c>
      <c r="C15" s="6" t="s">
        <v>67</v>
      </c>
      <c r="D15" s="71" t="s">
        <v>2385</v>
      </c>
      <c r="E15" s="20" t="s">
        <v>2374</v>
      </c>
      <c r="F15" s="21">
        <v>22021972</v>
      </c>
      <c r="G15" s="21" t="str">
        <f t="shared" si="0"/>
        <v>1972</v>
      </c>
      <c r="H15" s="22">
        <f t="shared" si="1"/>
        <v>54</v>
      </c>
      <c r="I15" s="23"/>
      <c r="J15" s="20" t="s">
        <v>27</v>
      </c>
      <c r="K15" s="6" t="s">
        <v>32</v>
      </c>
      <c r="L15" s="25"/>
      <c r="M15" s="45" t="s">
        <v>68</v>
      </c>
      <c r="N15" s="6"/>
      <c r="O15" s="6" t="s">
        <v>69</v>
      </c>
      <c r="P15" s="6">
        <v>152</v>
      </c>
      <c r="Q15" s="6">
        <v>42</v>
      </c>
      <c r="R15" s="26">
        <v>68</v>
      </c>
      <c r="S15" s="26">
        <v>8</v>
      </c>
      <c r="T15" s="26">
        <v>7</v>
      </c>
      <c r="U15" s="26"/>
      <c r="V15" s="6"/>
    </row>
    <row r="16" spans="1:22" s="4" customFormat="1" hidden="1">
      <c r="A16" s="20">
        <v>14</v>
      </c>
      <c r="B16" s="27">
        <v>46032</v>
      </c>
      <c r="C16" s="6" t="s">
        <v>70</v>
      </c>
      <c r="D16" s="71" t="s">
        <v>2382</v>
      </c>
      <c r="E16" s="20" t="s">
        <v>40</v>
      </c>
      <c r="F16" s="21">
        <v>8081966</v>
      </c>
      <c r="G16" s="21" t="str">
        <f t="shared" si="0"/>
        <v>1966</v>
      </c>
      <c r="H16" s="22">
        <f t="shared" si="1"/>
        <v>60</v>
      </c>
      <c r="I16" s="23" t="s">
        <v>27</v>
      </c>
      <c r="J16" s="20"/>
      <c r="K16" s="6" t="s">
        <v>32</v>
      </c>
      <c r="L16" s="25"/>
      <c r="M16" s="45" t="s">
        <v>71</v>
      </c>
      <c r="N16" s="6"/>
      <c r="O16" s="6" t="s">
        <v>72</v>
      </c>
      <c r="P16" s="6">
        <v>165</v>
      </c>
      <c r="Q16" s="6">
        <v>60</v>
      </c>
      <c r="R16" s="26">
        <v>90</v>
      </c>
      <c r="S16" s="26">
        <v>7</v>
      </c>
      <c r="T16" s="26">
        <v>6</v>
      </c>
      <c r="U16" s="26"/>
      <c r="V16" s="6"/>
    </row>
    <row r="17" spans="1:22" s="4" customFormat="1" hidden="1">
      <c r="A17" s="17">
        <v>15</v>
      </c>
      <c r="B17" s="27">
        <v>46032</v>
      </c>
      <c r="C17" s="6" t="s">
        <v>73</v>
      </c>
      <c r="D17" s="71" t="s">
        <v>2384</v>
      </c>
      <c r="E17" s="20" t="s">
        <v>40</v>
      </c>
      <c r="F17" s="21">
        <v>1031937</v>
      </c>
      <c r="G17" s="21" t="str">
        <f t="shared" si="0"/>
        <v>1937</v>
      </c>
      <c r="H17" s="22">
        <f t="shared" si="1"/>
        <v>89</v>
      </c>
      <c r="I17" s="23" t="s">
        <v>27</v>
      </c>
      <c r="J17" s="20"/>
      <c r="K17" s="6" t="s">
        <v>32</v>
      </c>
      <c r="L17" s="25"/>
      <c r="M17" s="45" t="s">
        <v>74</v>
      </c>
      <c r="N17" s="6"/>
      <c r="O17" s="6" t="s">
        <v>75</v>
      </c>
      <c r="P17" s="6">
        <v>155</v>
      </c>
      <c r="Q17" s="6">
        <v>50</v>
      </c>
      <c r="R17" s="26">
        <v>78</v>
      </c>
      <c r="S17" s="26">
        <v>5</v>
      </c>
      <c r="T17" s="26">
        <v>5</v>
      </c>
      <c r="U17" s="26"/>
      <c r="V17" s="6"/>
    </row>
    <row r="18" spans="1:22" s="4" customFormat="1" hidden="1">
      <c r="A18" s="20">
        <v>16</v>
      </c>
      <c r="B18" s="27">
        <v>46032</v>
      </c>
      <c r="C18" s="6" t="s">
        <v>76</v>
      </c>
      <c r="D18" s="71" t="s">
        <v>2383</v>
      </c>
      <c r="E18" s="20" t="s">
        <v>40</v>
      </c>
      <c r="F18" s="21">
        <v>1011948</v>
      </c>
      <c r="G18" s="21" t="str">
        <f t="shared" si="0"/>
        <v>1948</v>
      </c>
      <c r="H18" s="22">
        <f t="shared" si="1"/>
        <v>78</v>
      </c>
      <c r="I18" s="23"/>
      <c r="J18" s="20" t="s">
        <v>27</v>
      </c>
      <c r="K18" s="6" t="s">
        <v>32</v>
      </c>
      <c r="L18" s="25"/>
      <c r="M18" s="45" t="s">
        <v>77</v>
      </c>
      <c r="N18" s="6"/>
      <c r="O18" s="6" t="s">
        <v>78</v>
      </c>
      <c r="P18" s="6">
        <v>145</v>
      </c>
      <c r="Q18" s="6">
        <v>45</v>
      </c>
      <c r="R18" s="26">
        <v>75</v>
      </c>
      <c r="S18" s="26">
        <v>4</v>
      </c>
      <c r="T18" s="26">
        <v>4</v>
      </c>
      <c r="U18" s="26"/>
      <c r="V18" s="6"/>
    </row>
    <row r="19" spans="1:22" s="4" customFormat="1" hidden="1">
      <c r="A19" s="17">
        <v>17</v>
      </c>
      <c r="B19" s="27">
        <v>46032</v>
      </c>
      <c r="C19" s="6" t="s">
        <v>79</v>
      </c>
      <c r="D19" s="71" t="s">
        <v>2386</v>
      </c>
      <c r="E19" s="20" t="s">
        <v>40</v>
      </c>
      <c r="F19" s="21">
        <v>14101944</v>
      </c>
      <c r="G19" s="21" t="str">
        <f t="shared" si="0"/>
        <v>1944</v>
      </c>
      <c r="H19" s="22">
        <f t="shared" si="1"/>
        <v>82</v>
      </c>
      <c r="I19" s="23" t="s">
        <v>27</v>
      </c>
      <c r="J19" s="20"/>
      <c r="K19" s="6" t="s">
        <v>32</v>
      </c>
      <c r="L19" s="25"/>
      <c r="M19" s="45" t="s">
        <v>80</v>
      </c>
      <c r="N19" s="6"/>
      <c r="O19" s="6" t="s">
        <v>81</v>
      </c>
      <c r="P19" s="6">
        <v>160</v>
      </c>
      <c r="Q19" s="6">
        <v>70</v>
      </c>
      <c r="R19" s="26">
        <v>72</v>
      </c>
      <c r="S19" s="26">
        <v>3</v>
      </c>
      <c r="T19" s="26">
        <v>2</v>
      </c>
      <c r="U19" s="26"/>
      <c r="V19" s="6"/>
    </row>
    <row r="20" spans="1:22" s="4" customFormat="1" hidden="1">
      <c r="A20" s="20">
        <v>18</v>
      </c>
      <c r="B20" s="27">
        <v>46032</v>
      </c>
      <c r="C20" s="6" t="s">
        <v>82</v>
      </c>
      <c r="D20" s="71" t="s">
        <v>2387</v>
      </c>
      <c r="E20" s="20" t="s">
        <v>2374</v>
      </c>
      <c r="F20" s="21">
        <v>1051975</v>
      </c>
      <c r="G20" s="21" t="str">
        <f t="shared" si="0"/>
        <v>1975</v>
      </c>
      <c r="H20" s="22">
        <f t="shared" si="1"/>
        <v>51</v>
      </c>
      <c r="I20" s="23"/>
      <c r="J20" s="20" t="s">
        <v>27</v>
      </c>
      <c r="K20" s="6" t="s">
        <v>32</v>
      </c>
      <c r="L20" s="25"/>
      <c r="M20" s="45" t="s">
        <v>83</v>
      </c>
      <c r="N20" s="6"/>
      <c r="O20" s="6" t="s">
        <v>84</v>
      </c>
      <c r="P20" s="6">
        <v>155</v>
      </c>
      <c r="Q20" s="6">
        <v>53</v>
      </c>
      <c r="R20" s="26">
        <v>90</v>
      </c>
      <c r="S20" s="26">
        <v>9</v>
      </c>
      <c r="T20" s="26">
        <v>9</v>
      </c>
      <c r="U20" s="26"/>
      <c r="V20" s="6"/>
    </row>
    <row r="21" spans="1:22" s="4" customFormat="1" hidden="1">
      <c r="A21" s="17">
        <v>19</v>
      </c>
      <c r="B21" s="27">
        <v>46032</v>
      </c>
      <c r="C21" s="6" t="s">
        <v>85</v>
      </c>
      <c r="D21" s="71" t="s">
        <v>2388</v>
      </c>
      <c r="E21" s="20" t="s">
        <v>2374</v>
      </c>
      <c r="F21" s="21">
        <v>10071974</v>
      </c>
      <c r="G21" s="21" t="str">
        <f t="shared" si="0"/>
        <v>1974</v>
      </c>
      <c r="H21" s="22">
        <f t="shared" si="1"/>
        <v>52</v>
      </c>
      <c r="I21" s="23" t="s">
        <v>27</v>
      </c>
      <c r="J21" s="20"/>
      <c r="K21" s="6" t="s">
        <v>32</v>
      </c>
      <c r="L21" s="25"/>
      <c r="M21" s="46" t="s">
        <v>86</v>
      </c>
      <c r="N21" s="6"/>
      <c r="O21" s="6" t="s">
        <v>87</v>
      </c>
      <c r="P21" s="6">
        <v>160</v>
      </c>
      <c r="Q21" s="6">
        <v>55</v>
      </c>
      <c r="R21" s="26">
        <v>82</v>
      </c>
      <c r="S21" s="26">
        <v>10</v>
      </c>
      <c r="T21" s="26">
        <v>10</v>
      </c>
      <c r="U21" s="26"/>
      <c r="V21" s="6"/>
    </row>
    <row r="22" spans="1:22" s="4" customFormat="1" hidden="1">
      <c r="A22" s="20">
        <v>20</v>
      </c>
      <c r="B22" s="27">
        <v>46032</v>
      </c>
      <c r="C22" s="6" t="s">
        <v>88</v>
      </c>
      <c r="D22" s="71" t="s">
        <v>2389</v>
      </c>
      <c r="E22" s="20" t="s">
        <v>40</v>
      </c>
      <c r="F22" s="21">
        <v>6021954</v>
      </c>
      <c r="G22" s="21" t="str">
        <f t="shared" si="0"/>
        <v>1954</v>
      </c>
      <c r="H22" s="22">
        <f t="shared" si="1"/>
        <v>72</v>
      </c>
      <c r="I22" s="23"/>
      <c r="J22" s="20" t="s">
        <v>27</v>
      </c>
      <c r="K22" s="6" t="s">
        <v>32</v>
      </c>
      <c r="L22" s="25"/>
      <c r="M22" s="45" t="s">
        <v>89</v>
      </c>
      <c r="N22" s="6"/>
      <c r="O22" s="6" t="s">
        <v>90</v>
      </c>
      <c r="P22" s="6">
        <v>150</v>
      </c>
      <c r="Q22" s="6">
        <v>50</v>
      </c>
      <c r="R22" s="26">
        <v>68</v>
      </c>
      <c r="S22" s="26">
        <v>6</v>
      </c>
      <c r="T22" s="26">
        <v>5</v>
      </c>
      <c r="U22" s="26"/>
      <c r="V22" s="6"/>
    </row>
    <row r="23" spans="1:22" s="4" customFormat="1" hidden="1">
      <c r="A23" s="17">
        <v>21</v>
      </c>
      <c r="B23" s="27">
        <v>46032</v>
      </c>
      <c r="C23" s="6" t="s">
        <v>91</v>
      </c>
      <c r="D23" s="71" t="s">
        <v>2390</v>
      </c>
      <c r="E23" s="20" t="s">
        <v>92</v>
      </c>
      <c r="F23" s="21">
        <v>28021986</v>
      </c>
      <c r="G23" s="21" t="str">
        <f t="shared" si="0"/>
        <v>1986</v>
      </c>
      <c r="H23" s="22">
        <f t="shared" si="1"/>
        <v>40</v>
      </c>
      <c r="I23" s="23" t="s">
        <v>27</v>
      </c>
      <c r="J23" s="20"/>
      <c r="K23" s="6" t="s">
        <v>32</v>
      </c>
      <c r="L23" s="25"/>
      <c r="M23" s="46" t="s">
        <v>93</v>
      </c>
      <c r="N23" s="6"/>
      <c r="O23" s="6" t="s">
        <v>94</v>
      </c>
      <c r="P23" s="6">
        <v>150</v>
      </c>
      <c r="Q23" s="6">
        <v>50</v>
      </c>
      <c r="R23" s="26">
        <v>76</v>
      </c>
      <c r="S23" s="26">
        <v>9</v>
      </c>
      <c r="T23" s="26">
        <v>8</v>
      </c>
      <c r="U23" s="26"/>
      <c r="V23" s="6"/>
    </row>
    <row r="24" spans="1:22" s="4" customFormat="1" hidden="1">
      <c r="A24" s="20">
        <v>22</v>
      </c>
      <c r="B24" s="27">
        <v>46032</v>
      </c>
      <c r="C24" s="6" t="s">
        <v>95</v>
      </c>
      <c r="D24" s="71" t="s">
        <v>2391</v>
      </c>
      <c r="E24" s="20" t="s">
        <v>40</v>
      </c>
      <c r="F24" s="21">
        <v>20031963</v>
      </c>
      <c r="G24" s="21" t="str">
        <f t="shared" si="0"/>
        <v>1963</v>
      </c>
      <c r="H24" s="22">
        <f t="shared" si="1"/>
        <v>63</v>
      </c>
      <c r="I24" s="23"/>
      <c r="J24" s="20" t="s">
        <v>27</v>
      </c>
      <c r="K24" s="6" t="s">
        <v>32</v>
      </c>
      <c r="L24" s="25"/>
      <c r="M24" s="45" t="s">
        <v>96</v>
      </c>
      <c r="N24" s="6"/>
      <c r="O24" s="6" t="s">
        <v>97</v>
      </c>
      <c r="P24" s="4">
        <v>150</v>
      </c>
      <c r="Q24" s="6">
        <v>49</v>
      </c>
      <c r="R24" s="26">
        <v>86</v>
      </c>
      <c r="S24" s="26">
        <v>5</v>
      </c>
      <c r="T24" s="26">
        <v>6</v>
      </c>
      <c r="U24" s="26"/>
      <c r="V24" s="6"/>
    </row>
    <row r="25" spans="1:22" s="4" customFormat="1" hidden="1">
      <c r="A25" s="17">
        <v>23</v>
      </c>
      <c r="B25" s="27">
        <v>46032</v>
      </c>
      <c r="C25" s="6" t="s">
        <v>98</v>
      </c>
      <c r="D25" s="71" t="s">
        <v>2387</v>
      </c>
      <c r="E25" s="20" t="s">
        <v>40</v>
      </c>
      <c r="F25" s="21">
        <v>2081956</v>
      </c>
      <c r="G25" s="21" t="str">
        <f t="shared" si="0"/>
        <v>1956</v>
      </c>
      <c r="H25" s="22">
        <f t="shared" si="1"/>
        <v>70</v>
      </c>
      <c r="I25" s="23" t="s">
        <v>27</v>
      </c>
      <c r="J25" s="20"/>
      <c r="K25" s="6" t="s">
        <v>32</v>
      </c>
      <c r="L25" s="5"/>
      <c r="M25" s="45" t="s">
        <v>99</v>
      </c>
      <c r="N25" s="6"/>
      <c r="O25" s="6" t="s">
        <v>100</v>
      </c>
      <c r="P25" s="6">
        <v>167</v>
      </c>
      <c r="Q25" s="6">
        <v>52</v>
      </c>
      <c r="R25" s="26">
        <v>92</v>
      </c>
      <c r="S25" s="26">
        <v>4</v>
      </c>
      <c r="T25" s="26">
        <v>4</v>
      </c>
      <c r="U25" s="26"/>
      <c r="V25" s="6"/>
    </row>
    <row r="26" spans="1:22" s="4" customFormat="1" hidden="1">
      <c r="A26" s="20">
        <v>24</v>
      </c>
      <c r="B26" s="27">
        <v>46032</v>
      </c>
      <c r="C26" s="6" t="s">
        <v>101</v>
      </c>
      <c r="D26" s="71" t="s">
        <v>2390</v>
      </c>
      <c r="E26" s="20" t="s">
        <v>40</v>
      </c>
      <c r="F26" s="21">
        <v>20101959</v>
      </c>
      <c r="G26" s="21" t="str">
        <f t="shared" si="0"/>
        <v>1959</v>
      </c>
      <c r="H26" s="22">
        <f t="shared" si="1"/>
        <v>67</v>
      </c>
      <c r="I26" s="23" t="s">
        <v>27</v>
      </c>
      <c r="J26" s="20"/>
      <c r="K26" s="6" t="s">
        <v>102</v>
      </c>
      <c r="L26" s="25"/>
      <c r="M26" s="45" t="s">
        <v>103</v>
      </c>
      <c r="N26" s="6"/>
      <c r="O26" s="6" t="s">
        <v>104</v>
      </c>
      <c r="P26" s="6"/>
      <c r="Q26" s="6"/>
      <c r="R26" s="26">
        <v>84</v>
      </c>
      <c r="S26" s="26">
        <v>5</v>
      </c>
      <c r="T26" s="26">
        <v>6</v>
      </c>
      <c r="U26" s="26"/>
      <c r="V26" s="6"/>
    </row>
    <row r="27" spans="1:22" s="4" customFormat="1" hidden="1">
      <c r="A27" s="17">
        <v>25</v>
      </c>
      <c r="B27" s="27">
        <v>46032</v>
      </c>
      <c r="C27" s="6" t="s">
        <v>105</v>
      </c>
      <c r="D27" s="71" t="s">
        <v>2389</v>
      </c>
      <c r="E27" s="20" t="s">
        <v>40</v>
      </c>
      <c r="F27" s="21">
        <v>1011959</v>
      </c>
      <c r="G27" s="21" t="str">
        <f t="shared" si="0"/>
        <v>1959</v>
      </c>
      <c r="H27" s="22">
        <f t="shared" si="1"/>
        <v>67</v>
      </c>
      <c r="I27" s="23"/>
      <c r="J27" s="20" t="s">
        <v>27</v>
      </c>
      <c r="K27" s="6" t="s">
        <v>102</v>
      </c>
      <c r="L27" s="25"/>
      <c r="M27" s="45" t="s">
        <v>106</v>
      </c>
      <c r="N27" s="6"/>
      <c r="O27" s="6" t="s">
        <v>87</v>
      </c>
      <c r="P27" s="6">
        <v>150</v>
      </c>
      <c r="Q27" s="6">
        <v>57</v>
      </c>
      <c r="R27" s="26">
        <v>80</v>
      </c>
      <c r="S27" s="26">
        <v>5</v>
      </c>
      <c r="T27" s="26">
        <v>4</v>
      </c>
      <c r="U27" s="26"/>
      <c r="V27" s="6"/>
    </row>
    <row r="28" spans="1:22" s="4" customFormat="1" hidden="1">
      <c r="A28" s="20">
        <v>26</v>
      </c>
      <c r="B28" s="27">
        <v>46032</v>
      </c>
      <c r="C28" s="6" t="s">
        <v>107</v>
      </c>
      <c r="D28" s="71" t="s">
        <v>2391</v>
      </c>
      <c r="E28" s="20" t="s">
        <v>40</v>
      </c>
      <c r="F28" s="21">
        <v>30121954</v>
      </c>
      <c r="G28" s="21" t="str">
        <f t="shared" si="0"/>
        <v>1954</v>
      </c>
      <c r="H28" s="22">
        <f t="shared" si="1"/>
        <v>72</v>
      </c>
      <c r="I28" s="23"/>
      <c r="J28" s="20" t="s">
        <v>27</v>
      </c>
      <c r="K28" s="6" t="s">
        <v>102</v>
      </c>
      <c r="L28" s="5"/>
      <c r="M28" s="46" t="s">
        <v>108</v>
      </c>
      <c r="N28" s="6"/>
      <c r="O28" s="6" t="s">
        <v>60</v>
      </c>
      <c r="P28" s="6">
        <v>150</v>
      </c>
      <c r="Q28" s="6">
        <v>54</v>
      </c>
      <c r="R28" s="26">
        <v>70</v>
      </c>
      <c r="S28" s="26" t="s">
        <v>109</v>
      </c>
      <c r="T28" s="26">
        <v>3</v>
      </c>
      <c r="U28" s="26"/>
      <c r="V28" s="6"/>
    </row>
    <row r="29" spans="1:22" s="4" customFormat="1" hidden="1">
      <c r="A29" s="17">
        <v>27</v>
      </c>
      <c r="B29" s="27">
        <v>46032</v>
      </c>
      <c r="C29" s="6" t="s">
        <v>110</v>
      </c>
      <c r="D29" s="71" t="s">
        <v>2388</v>
      </c>
      <c r="E29" s="20" t="s">
        <v>111</v>
      </c>
      <c r="F29" s="21">
        <v>20082013</v>
      </c>
      <c r="G29" s="21" t="str">
        <f t="shared" si="0"/>
        <v>2013</v>
      </c>
      <c r="H29" s="22">
        <f t="shared" si="1"/>
        <v>13</v>
      </c>
      <c r="I29" s="23" t="s">
        <v>27</v>
      </c>
      <c r="J29" s="20"/>
      <c r="K29" s="6" t="s">
        <v>32</v>
      </c>
      <c r="L29" s="25"/>
      <c r="M29" s="46" t="s">
        <v>112</v>
      </c>
      <c r="N29" s="6"/>
      <c r="O29" s="6" t="s">
        <v>113</v>
      </c>
      <c r="P29" s="6">
        <v>153</v>
      </c>
      <c r="Q29" s="6">
        <v>39</v>
      </c>
      <c r="R29" s="26">
        <v>73</v>
      </c>
      <c r="S29" s="26"/>
      <c r="T29" s="26"/>
      <c r="U29" s="26"/>
      <c r="V29" s="6"/>
    </row>
    <row r="30" spans="1:22" s="4" customFormat="1" hidden="1">
      <c r="A30" s="20">
        <v>28</v>
      </c>
      <c r="B30" s="27">
        <v>46032</v>
      </c>
      <c r="C30" s="6" t="s">
        <v>114</v>
      </c>
      <c r="D30" s="71" t="s">
        <v>2386</v>
      </c>
      <c r="E30" s="20" t="s">
        <v>40</v>
      </c>
      <c r="F30" s="21">
        <v>4011928</v>
      </c>
      <c r="G30" s="21" t="str">
        <f t="shared" si="0"/>
        <v>1928</v>
      </c>
      <c r="H30" s="22">
        <f t="shared" si="1"/>
        <v>98</v>
      </c>
      <c r="I30" s="23" t="s">
        <v>27</v>
      </c>
      <c r="J30" s="20"/>
      <c r="K30" s="6" t="s">
        <v>115</v>
      </c>
      <c r="L30" s="25"/>
      <c r="M30" s="45" t="s">
        <v>116</v>
      </c>
      <c r="N30" s="6"/>
      <c r="O30" s="6" t="s">
        <v>87</v>
      </c>
      <c r="P30" s="6">
        <v>165</v>
      </c>
      <c r="Q30" s="6">
        <v>55</v>
      </c>
      <c r="R30" s="26">
        <v>74</v>
      </c>
      <c r="S30" s="26">
        <v>1</v>
      </c>
      <c r="T30" s="26" t="s">
        <v>117</v>
      </c>
      <c r="U30" s="26"/>
      <c r="V30" s="6"/>
    </row>
    <row r="31" spans="1:22" s="4" customFormat="1" hidden="1">
      <c r="A31" s="17">
        <v>29</v>
      </c>
      <c r="B31" s="27">
        <v>46032</v>
      </c>
      <c r="C31" s="6" t="s">
        <v>118</v>
      </c>
      <c r="D31" s="71" t="s">
        <v>2392</v>
      </c>
      <c r="E31" s="20" t="s">
        <v>40</v>
      </c>
      <c r="F31" s="21">
        <v>1954</v>
      </c>
      <c r="G31" s="21" t="str">
        <f t="shared" si="0"/>
        <v>1954</v>
      </c>
      <c r="H31" s="22">
        <f t="shared" si="1"/>
        <v>72</v>
      </c>
      <c r="I31" s="23"/>
      <c r="J31" s="20" t="s">
        <v>27</v>
      </c>
      <c r="K31" s="6" t="s">
        <v>115</v>
      </c>
      <c r="L31" s="25"/>
      <c r="M31" s="45" t="s">
        <v>119</v>
      </c>
      <c r="N31" s="6"/>
      <c r="O31" s="6" t="s">
        <v>34</v>
      </c>
      <c r="P31" s="6">
        <v>150</v>
      </c>
      <c r="Q31" s="6">
        <v>45</v>
      </c>
      <c r="R31" s="26">
        <v>76</v>
      </c>
      <c r="S31" s="26">
        <v>3</v>
      </c>
      <c r="T31" s="26">
        <v>2</v>
      </c>
      <c r="U31" s="26"/>
      <c r="V31" s="6"/>
    </row>
    <row r="32" spans="1:22" s="4" customFormat="1" hidden="1">
      <c r="A32" s="20">
        <v>30</v>
      </c>
      <c r="B32" s="27">
        <v>46032</v>
      </c>
      <c r="C32" s="6" t="s">
        <v>120</v>
      </c>
      <c r="D32" s="71" t="s">
        <v>2393</v>
      </c>
      <c r="E32" s="20" t="s">
        <v>40</v>
      </c>
      <c r="F32" s="21">
        <v>20041954</v>
      </c>
      <c r="G32" s="21" t="str">
        <f t="shared" si="0"/>
        <v>1954</v>
      </c>
      <c r="H32" s="22">
        <f t="shared" si="1"/>
        <v>72</v>
      </c>
      <c r="I32" s="23"/>
      <c r="J32" s="20" t="s">
        <v>27</v>
      </c>
      <c r="K32" s="6" t="s">
        <v>115</v>
      </c>
      <c r="L32" s="25"/>
      <c r="M32" s="45" t="s">
        <v>121</v>
      </c>
      <c r="N32" s="6"/>
      <c r="O32" s="6" t="s">
        <v>87</v>
      </c>
      <c r="P32" s="6">
        <v>120</v>
      </c>
      <c r="Q32" s="6">
        <v>33</v>
      </c>
      <c r="R32" s="26">
        <v>74</v>
      </c>
      <c r="S32" s="26" t="s">
        <v>122</v>
      </c>
      <c r="T32" s="26" t="s">
        <v>122</v>
      </c>
      <c r="U32" s="26"/>
      <c r="V32" s="6"/>
    </row>
    <row r="33" spans="1:22" s="4" customFormat="1" hidden="1">
      <c r="A33" s="17">
        <v>31</v>
      </c>
      <c r="B33" s="27">
        <v>46032</v>
      </c>
      <c r="C33" s="6" t="s">
        <v>123</v>
      </c>
      <c r="D33" s="71" t="s">
        <v>2394</v>
      </c>
      <c r="E33" s="20" t="s">
        <v>40</v>
      </c>
      <c r="F33" s="21">
        <v>10071953</v>
      </c>
      <c r="G33" s="21" t="str">
        <f t="shared" si="0"/>
        <v>1953</v>
      </c>
      <c r="H33" s="22">
        <f t="shared" si="1"/>
        <v>73</v>
      </c>
      <c r="I33" s="23" t="s">
        <v>27</v>
      </c>
      <c r="J33" s="20"/>
      <c r="K33" s="6" t="s">
        <v>32</v>
      </c>
      <c r="L33" s="25"/>
      <c r="M33" s="45" t="s">
        <v>124</v>
      </c>
      <c r="N33" s="6"/>
      <c r="O33" s="6" t="s">
        <v>125</v>
      </c>
      <c r="P33" s="6">
        <v>158</v>
      </c>
      <c r="Q33" s="6">
        <v>49</v>
      </c>
      <c r="R33" s="26">
        <v>73</v>
      </c>
      <c r="S33" s="26">
        <v>1</v>
      </c>
      <c r="T33" s="26">
        <v>1</v>
      </c>
      <c r="U33" s="26"/>
      <c r="V33" s="6"/>
    </row>
    <row r="34" spans="1:22" s="4" customFormat="1" hidden="1">
      <c r="A34" s="20">
        <v>32</v>
      </c>
      <c r="B34" s="27">
        <v>46032</v>
      </c>
      <c r="C34" s="6" t="s">
        <v>126</v>
      </c>
      <c r="D34" s="71" t="s">
        <v>2395</v>
      </c>
      <c r="E34" s="20" t="s">
        <v>40</v>
      </c>
      <c r="F34" s="21">
        <v>4101943</v>
      </c>
      <c r="G34" s="21" t="str">
        <f t="shared" si="0"/>
        <v>1943</v>
      </c>
      <c r="H34" s="22">
        <f t="shared" si="1"/>
        <v>83</v>
      </c>
      <c r="I34" s="23"/>
      <c r="J34" s="20" t="s">
        <v>27</v>
      </c>
      <c r="K34" s="6" t="s">
        <v>115</v>
      </c>
      <c r="L34" s="25"/>
      <c r="M34" s="45" t="s">
        <v>127</v>
      </c>
      <c r="N34" s="6"/>
      <c r="O34" s="6" t="s">
        <v>128</v>
      </c>
      <c r="P34" s="6">
        <v>142</v>
      </c>
      <c r="Q34" s="6">
        <v>40</v>
      </c>
      <c r="R34" s="26">
        <v>68</v>
      </c>
      <c r="S34" s="26" t="s">
        <v>129</v>
      </c>
      <c r="T34" s="26" t="s">
        <v>130</v>
      </c>
      <c r="U34" s="26"/>
      <c r="V34" s="6"/>
    </row>
    <row r="35" spans="1:22" s="4" customFormat="1" hidden="1">
      <c r="A35" s="17">
        <v>33</v>
      </c>
      <c r="B35" s="27">
        <v>46032</v>
      </c>
      <c r="C35" s="6" t="s">
        <v>131</v>
      </c>
      <c r="D35" s="71" t="s">
        <v>2396</v>
      </c>
      <c r="E35" s="20" t="s">
        <v>40</v>
      </c>
      <c r="F35" s="21">
        <v>10061947</v>
      </c>
      <c r="G35" s="21" t="str">
        <f t="shared" si="0"/>
        <v>1947</v>
      </c>
      <c r="H35" s="22">
        <f t="shared" si="1"/>
        <v>79</v>
      </c>
      <c r="I35" s="23"/>
      <c r="J35" s="20" t="s">
        <v>27</v>
      </c>
      <c r="K35" s="6" t="s">
        <v>115</v>
      </c>
      <c r="L35" s="25"/>
      <c r="M35" s="45" t="s">
        <v>132</v>
      </c>
      <c r="N35" s="6"/>
      <c r="O35" s="6" t="s">
        <v>133</v>
      </c>
      <c r="P35" s="6">
        <v>148</v>
      </c>
      <c r="Q35" s="6">
        <v>46</v>
      </c>
      <c r="R35" s="26">
        <v>89</v>
      </c>
      <c r="S35" s="26">
        <v>3</v>
      </c>
      <c r="T35" s="26">
        <v>1</v>
      </c>
      <c r="U35" s="26"/>
      <c r="V35" s="6"/>
    </row>
    <row r="36" spans="1:22" s="4" customFormat="1" hidden="1">
      <c r="A36" s="20">
        <v>34</v>
      </c>
      <c r="B36" s="27">
        <v>46032</v>
      </c>
      <c r="C36" s="6" t="s">
        <v>134</v>
      </c>
      <c r="D36" s="71" t="s">
        <v>2397</v>
      </c>
      <c r="E36" s="20" t="s">
        <v>2374</v>
      </c>
      <c r="F36" s="21">
        <v>9011999</v>
      </c>
      <c r="G36" s="21" t="str">
        <f t="shared" si="0"/>
        <v>1999</v>
      </c>
      <c r="H36" s="22">
        <f t="shared" si="1"/>
        <v>27</v>
      </c>
      <c r="I36" s="23" t="s">
        <v>27</v>
      </c>
      <c r="J36" s="20"/>
      <c r="K36" s="6" t="s">
        <v>28</v>
      </c>
      <c r="L36" s="25"/>
      <c r="M36" s="45" t="s">
        <v>135</v>
      </c>
      <c r="N36" s="6"/>
      <c r="O36" s="6" t="s">
        <v>136</v>
      </c>
      <c r="P36" s="6">
        <v>176</v>
      </c>
      <c r="Q36" s="6">
        <v>54</v>
      </c>
      <c r="R36" s="26">
        <v>80</v>
      </c>
      <c r="S36" s="26">
        <v>10</v>
      </c>
      <c r="T36" s="26">
        <v>10</v>
      </c>
      <c r="U36" s="26"/>
      <c r="V36" s="6"/>
    </row>
    <row r="37" spans="1:22" s="4" customFormat="1" hidden="1">
      <c r="A37" s="17">
        <v>35</v>
      </c>
      <c r="B37" s="27">
        <v>46032</v>
      </c>
      <c r="C37" s="6" t="s">
        <v>137</v>
      </c>
      <c r="D37" s="71" t="s">
        <v>2398</v>
      </c>
      <c r="E37" s="20" t="s">
        <v>40</v>
      </c>
      <c r="F37" s="21">
        <v>6021952</v>
      </c>
      <c r="G37" s="21" t="str">
        <f t="shared" si="0"/>
        <v>1952</v>
      </c>
      <c r="H37" s="22">
        <f t="shared" si="1"/>
        <v>74</v>
      </c>
      <c r="I37" s="23"/>
      <c r="J37" s="20" t="s">
        <v>27</v>
      </c>
      <c r="K37" s="6" t="s">
        <v>115</v>
      </c>
      <c r="L37" s="25"/>
      <c r="M37" s="45" t="s">
        <v>138</v>
      </c>
      <c r="N37" s="6"/>
      <c r="O37" s="6" t="s">
        <v>139</v>
      </c>
      <c r="P37" s="6">
        <v>153</v>
      </c>
      <c r="Q37" s="6">
        <v>36</v>
      </c>
      <c r="R37" s="26">
        <v>91</v>
      </c>
      <c r="S37" s="26">
        <v>5</v>
      </c>
      <c r="T37" s="26">
        <v>4</v>
      </c>
      <c r="U37" s="26"/>
      <c r="V37" s="6"/>
    </row>
    <row r="38" spans="1:22" s="4" customFormat="1" hidden="1">
      <c r="A38" s="20">
        <v>36</v>
      </c>
      <c r="B38" s="27">
        <v>46032</v>
      </c>
      <c r="C38" s="6" t="s">
        <v>140</v>
      </c>
      <c r="D38" s="71" t="s">
        <v>2399</v>
      </c>
      <c r="E38" s="20" t="s">
        <v>2374</v>
      </c>
      <c r="F38" s="21">
        <v>12071987</v>
      </c>
      <c r="G38" s="21" t="str">
        <f t="shared" si="0"/>
        <v>1987</v>
      </c>
      <c r="H38" s="22">
        <f t="shared" si="1"/>
        <v>39</v>
      </c>
      <c r="I38" s="23"/>
      <c r="J38" s="20" t="s">
        <v>27</v>
      </c>
      <c r="K38" s="6" t="s">
        <v>28</v>
      </c>
      <c r="L38" s="25"/>
      <c r="M38" s="45" t="s">
        <v>141</v>
      </c>
      <c r="N38" s="6"/>
      <c r="O38" s="6" t="s">
        <v>113</v>
      </c>
      <c r="P38" s="6">
        <v>145</v>
      </c>
      <c r="Q38" s="6">
        <v>55</v>
      </c>
      <c r="R38" s="26">
        <v>75</v>
      </c>
      <c r="S38" s="26">
        <v>9</v>
      </c>
      <c r="T38" s="26">
        <v>9</v>
      </c>
      <c r="U38" s="26"/>
      <c r="V38" s="6"/>
    </row>
    <row r="39" spans="1:22" s="4" customFormat="1" hidden="1">
      <c r="A39" s="17">
        <v>37</v>
      </c>
      <c r="B39" s="27">
        <v>46032</v>
      </c>
      <c r="C39" s="6" t="s">
        <v>107</v>
      </c>
      <c r="D39" s="71" t="s">
        <v>2400</v>
      </c>
      <c r="E39" s="20" t="s">
        <v>40</v>
      </c>
      <c r="F39" s="21">
        <v>12071962</v>
      </c>
      <c r="G39" s="21" t="str">
        <f t="shared" si="0"/>
        <v>1962</v>
      </c>
      <c r="H39" s="22">
        <f t="shared" si="1"/>
        <v>64</v>
      </c>
      <c r="I39" s="23"/>
      <c r="J39" s="20" t="s">
        <v>27</v>
      </c>
      <c r="K39" s="6" t="s">
        <v>28</v>
      </c>
      <c r="L39" s="25"/>
      <c r="M39" s="45" t="s">
        <v>142</v>
      </c>
      <c r="N39" s="6"/>
      <c r="O39" s="6" t="s">
        <v>143</v>
      </c>
      <c r="P39" s="6">
        <v>151</v>
      </c>
      <c r="Q39" s="6">
        <v>49</v>
      </c>
      <c r="R39" s="26">
        <v>75</v>
      </c>
      <c r="S39" s="26">
        <v>6</v>
      </c>
      <c r="T39" s="26">
        <v>6</v>
      </c>
      <c r="U39" s="26"/>
      <c r="V39" s="6"/>
    </row>
    <row r="40" spans="1:22" s="4" customFormat="1" hidden="1">
      <c r="A40" s="20">
        <v>38</v>
      </c>
      <c r="B40" s="27">
        <v>46032</v>
      </c>
      <c r="C40" s="6" t="s">
        <v>144</v>
      </c>
      <c r="D40" s="71" t="s">
        <v>2401</v>
      </c>
      <c r="E40" s="20" t="s">
        <v>2374</v>
      </c>
      <c r="F40" s="21">
        <v>8071972</v>
      </c>
      <c r="G40" s="21" t="str">
        <f t="shared" si="0"/>
        <v>1972</v>
      </c>
      <c r="H40" s="22">
        <f t="shared" si="1"/>
        <v>54</v>
      </c>
      <c r="I40" s="23"/>
      <c r="J40" s="20" t="s">
        <v>27</v>
      </c>
      <c r="K40" s="6" t="s">
        <v>115</v>
      </c>
      <c r="L40" s="25"/>
      <c r="M40" s="45" t="s">
        <v>145</v>
      </c>
      <c r="N40" s="6"/>
      <c r="O40" s="6" t="s">
        <v>146</v>
      </c>
      <c r="P40" s="6">
        <v>140</v>
      </c>
      <c r="Q40" s="6">
        <v>40</v>
      </c>
      <c r="R40" s="26">
        <v>75</v>
      </c>
      <c r="S40" s="26">
        <v>6</v>
      </c>
      <c r="T40" s="26">
        <v>5</v>
      </c>
      <c r="U40" s="26"/>
      <c r="V40" s="6"/>
    </row>
    <row r="41" spans="1:22" s="4" customFormat="1" hidden="1">
      <c r="A41" s="17">
        <v>39</v>
      </c>
      <c r="B41" s="27">
        <v>46032</v>
      </c>
      <c r="C41" s="6" t="s">
        <v>147</v>
      </c>
      <c r="D41" s="71" t="s">
        <v>2396</v>
      </c>
      <c r="E41" s="20" t="s">
        <v>40</v>
      </c>
      <c r="F41" s="21">
        <v>2071934</v>
      </c>
      <c r="G41" s="21" t="str">
        <f t="shared" si="0"/>
        <v>1934</v>
      </c>
      <c r="H41" s="22">
        <f t="shared" si="1"/>
        <v>92</v>
      </c>
      <c r="I41" s="23"/>
      <c r="J41" s="20" t="s">
        <v>27</v>
      </c>
      <c r="K41" s="6" t="s">
        <v>115</v>
      </c>
      <c r="L41" s="25"/>
      <c r="M41" s="46" t="s">
        <v>148</v>
      </c>
      <c r="N41" s="6"/>
      <c r="O41" s="6" t="s">
        <v>149</v>
      </c>
      <c r="P41" s="6">
        <v>150</v>
      </c>
      <c r="Q41" s="6">
        <v>40</v>
      </c>
      <c r="R41" s="26">
        <v>79</v>
      </c>
      <c r="S41" s="26" t="s">
        <v>150</v>
      </c>
      <c r="T41" s="26" t="s">
        <v>129</v>
      </c>
      <c r="U41" s="26"/>
      <c r="V41" s="6"/>
    </row>
    <row r="42" spans="1:22" s="4" customFormat="1" hidden="1">
      <c r="A42" s="20">
        <v>40</v>
      </c>
      <c r="B42" s="27">
        <v>46032</v>
      </c>
      <c r="C42" s="6" t="s">
        <v>151</v>
      </c>
      <c r="D42" s="71" t="s">
        <v>2397</v>
      </c>
      <c r="E42" s="20" t="s">
        <v>40</v>
      </c>
      <c r="F42" s="21">
        <v>7031955</v>
      </c>
      <c r="G42" s="21" t="str">
        <f t="shared" si="0"/>
        <v>1955</v>
      </c>
      <c r="H42" s="22">
        <f t="shared" si="1"/>
        <v>71</v>
      </c>
      <c r="I42" s="23"/>
      <c r="J42" s="20" t="s">
        <v>27</v>
      </c>
      <c r="K42" s="6" t="s">
        <v>115</v>
      </c>
      <c r="L42" s="25"/>
      <c r="M42" s="45" t="s">
        <v>152</v>
      </c>
      <c r="N42" s="6"/>
      <c r="O42" s="6" t="s">
        <v>153</v>
      </c>
      <c r="P42" s="6">
        <v>148</v>
      </c>
      <c r="Q42" s="6">
        <v>54</v>
      </c>
      <c r="R42" s="26">
        <v>73</v>
      </c>
      <c r="S42" s="26">
        <v>5</v>
      </c>
      <c r="T42" s="26">
        <v>6</v>
      </c>
      <c r="U42" s="26"/>
      <c r="V42" s="6"/>
    </row>
    <row r="43" spans="1:22" s="4" customFormat="1" hidden="1">
      <c r="A43" s="17">
        <v>41</v>
      </c>
      <c r="B43" s="27">
        <v>46032</v>
      </c>
      <c r="C43" s="6" t="s">
        <v>154</v>
      </c>
      <c r="D43" s="71" t="s">
        <v>2392</v>
      </c>
      <c r="E43" s="20" t="s">
        <v>40</v>
      </c>
      <c r="F43" s="21">
        <v>20101955</v>
      </c>
      <c r="G43" s="21" t="str">
        <f t="shared" si="0"/>
        <v>1955</v>
      </c>
      <c r="H43" s="22">
        <f t="shared" si="1"/>
        <v>71</v>
      </c>
      <c r="I43" s="23"/>
      <c r="J43" s="20" t="s">
        <v>27</v>
      </c>
      <c r="K43" s="6" t="s">
        <v>115</v>
      </c>
      <c r="L43" s="25"/>
      <c r="M43" s="45" t="s">
        <v>155</v>
      </c>
      <c r="N43" s="6"/>
      <c r="O43" s="6" t="s">
        <v>146</v>
      </c>
      <c r="P43" s="6">
        <v>150</v>
      </c>
      <c r="Q43" s="6">
        <v>45</v>
      </c>
      <c r="R43" s="26">
        <v>76</v>
      </c>
      <c r="S43" s="26" t="s">
        <v>156</v>
      </c>
      <c r="T43" s="26" t="s">
        <v>156</v>
      </c>
      <c r="U43" s="26"/>
      <c r="V43" s="6"/>
    </row>
    <row r="44" spans="1:22" s="4" customFormat="1" hidden="1">
      <c r="A44" s="20">
        <v>42</v>
      </c>
      <c r="B44" s="27">
        <v>46032</v>
      </c>
      <c r="C44" s="6" t="s">
        <v>120</v>
      </c>
      <c r="D44" s="71" t="s">
        <v>2393</v>
      </c>
      <c r="E44" s="20" t="s">
        <v>2374</v>
      </c>
      <c r="F44" s="21">
        <v>20111972</v>
      </c>
      <c r="G44" s="21" t="str">
        <f t="shared" si="0"/>
        <v>1972</v>
      </c>
      <c r="H44" s="22">
        <f t="shared" si="1"/>
        <v>54</v>
      </c>
      <c r="I44" s="23"/>
      <c r="J44" s="20" t="s">
        <v>27</v>
      </c>
      <c r="K44" s="6" t="s">
        <v>115</v>
      </c>
      <c r="L44" s="25"/>
      <c r="M44" s="45" t="s">
        <v>157</v>
      </c>
      <c r="N44" s="6"/>
      <c r="O44" s="6" t="s">
        <v>34</v>
      </c>
      <c r="P44" s="6">
        <v>155</v>
      </c>
      <c r="Q44" s="6">
        <v>52</v>
      </c>
      <c r="R44" s="26">
        <v>74</v>
      </c>
      <c r="S44" s="26">
        <v>7</v>
      </c>
      <c r="T44" s="26">
        <v>7</v>
      </c>
      <c r="U44" s="26"/>
      <c r="V44" s="6"/>
    </row>
    <row r="45" spans="1:22" s="4" customFormat="1" hidden="1">
      <c r="A45" s="17">
        <v>43</v>
      </c>
      <c r="B45" s="27">
        <v>46032</v>
      </c>
      <c r="C45" s="6" t="s">
        <v>158</v>
      </c>
      <c r="D45" s="71" t="s">
        <v>2401</v>
      </c>
      <c r="E45" s="20" t="s">
        <v>2374</v>
      </c>
      <c r="F45" s="21">
        <v>6011975</v>
      </c>
      <c r="G45" s="21" t="str">
        <f t="shared" si="0"/>
        <v>1975</v>
      </c>
      <c r="H45" s="22">
        <f t="shared" si="1"/>
        <v>51</v>
      </c>
      <c r="I45" s="23"/>
      <c r="J45" s="20" t="s">
        <v>27</v>
      </c>
      <c r="K45" s="6" t="s">
        <v>32</v>
      </c>
      <c r="L45" s="25"/>
      <c r="M45" s="45" t="s">
        <v>159</v>
      </c>
      <c r="N45" s="6"/>
      <c r="O45" s="6" t="s">
        <v>113</v>
      </c>
      <c r="P45" s="6">
        <v>140</v>
      </c>
      <c r="Q45" s="6">
        <v>51</v>
      </c>
      <c r="R45" s="26">
        <v>74</v>
      </c>
      <c r="S45" s="26">
        <v>7</v>
      </c>
      <c r="T45" s="26">
        <v>7</v>
      </c>
      <c r="U45" s="26"/>
      <c r="V45" s="6"/>
    </row>
    <row r="46" spans="1:22" s="4" customFormat="1" hidden="1">
      <c r="A46" s="20">
        <v>44</v>
      </c>
      <c r="B46" s="27">
        <v>46032</v>
      </c>
      <c r="C46" s="6" t="s">
        <v>160</v>
      </c>
      <c r="D46" s="71" t="s">
        <v>2394</v>
      </c>
      <c r="E46" s="20" t="s">
        <v>2374</v>
      </c>
      <c r="F46" s="21">
        <v>10021998</v>
      </c>
      <c r="G46" s="21" t="str">
        <f t="shared" si="0"/>
        <v>1998</v>
      </c>
      <c r="H46" s="22">
        <f t="shared" si="1"/>
        <v>28</v>
      </c>
      <c r="I46" s="23"/>
      <c r="J46" s="20" t="s">
        <v>27</v>
      </c>
      <c r="K46" s="6" t="s">
        <v>28</v>
      </c>
      <c r="L46" s="25"/>
      <c r="M46" s="45" t="s">
        <v>161</v>
      </c>
      <c r="N46" s="6"/>
      <c r="O46" s="6" t="s">
        <v>146</v>
      </c>
      <c r="P46" s="6">
        <v>151</v>
      </c>
      <c r="Q46" s="6">
        <v>50</v>
      </c>
      <c r="R46" s="26">
        <v>74</v>
      </c>
      <c r="S46" s="26">
        <v>10</v>
      </c>
      <c r="T46" s="26">
        <v>10</v>
      </c>
      <c r="U46" s="26"/>
      <c r="V46" s="6"/>
    </row>
    <row r="47" spans="1:22" s="4" customFormat="1" hidden="1">
      <c r="A47" s="17">
        <v>45</v>
      </c>
      <c r="B47" s="27">
        <v>46032</v>
      </c>
      <c r="C47" s="6" t="s">
        <v>162</v>
      </c>
      <c r="D47" s="71" t="s">
        <v>2395</v>
      </c>
      <c r="E47" s="20" t="s">
        <v>40</v>
      </c>
      <c r="F47" s="21">
        <v>3061937</v>
      </c>
      <c r="G47" s="21" t="str">
        <f t="shared" si="0"/>
        <v>1937</v>
      </c>
      <c r="H47" s="22">
        <f t="shared" si="1"/>
        <v>89</v>
      </c>
      <c r="I47" s="23"/>
      <c r="J47" s="20" t="s">
        <v>27</v>
      </c>
      <c r="K47" s="6" t="s">
        <v>115</v>
      </c>
      <c r="L47" s="25"/>
      <c r="M47" s="45" t="s">
        <v>163</v>
      </c>
      <c r="N47" s="6"/>
      <c r="O47" s="6" t="s">
        <v>149</v>
      </c>
      <c r="P47" s="6">
        <v>160</v>
      </c>
      <c r="Q47" s="6">
        <v>40</v>
      </c>
      <c r="R47" s="26">
        <v>73</v>
      </c>
      <c r="S47" s="26">
        <v>2</v>
      </c>
      <c r="T47" s="26">
        <v>2</v>
      </c>
      <c r="U47" s="26"/>
      <c r="V47" s="6"/>
    </row>
    <row r="48" spans="1:22" s="4" customFormat="1" hidden="1">
      <c r="A48" s="20">
        <v>46</v>
      </c>
      <c r="B48" s="27">
        <v>46032</v>
      </c>
      <c r="C48" s="6" t="s">
        <v>43</v>
      </c>
      <c r="D48" s="71" t="s">
        <v>2398</v>
      </c>
      <c r="E48" s="20" t="s">
        <v>40</v>
      </c>
      <c r="F48" s="21">
        <v>15061951</v>
      </c>
      <c r="G48" s="21" t="str">
        <f t="shared" si="0"/>
        <v>1951</v>
      </c>
      <c r="H48" s="22">
        <f t="shared" si="1"/>
        <v>75</v>
      </c>
      <c r="I48" s="23"/>
      <c r="J48" s="20" t="s">
        <v>27</v>
      </c>
      <c r="K48" s="6" t="s">
        <v>115</v>
      </c>
      <c r="L48" s="25"/>
      <c r="M48" s="45" t="s">
        <v>164</v>
      </c>
      <c r="N48" s="6"/>
      <c r="O48" s="6" t="s">
        <v>113</v>
      </c>
      <c r="P48" s="6">
        <v>155</v>
      </c>
      <c r="Q48" s="6">
        <v>55</v>
      </c>
      <c r="R48" s="26">
        <v>78</v>
      </c>
      <c r="S48" s="26">
        <v>4</v>
      </c>
      <c r="T48" s="26">
        <v>4</v>
      </c>
      <c r="U48" s="26"/>
      <c r="V48" s="6"/>
    </row>
    <row r="49" spans="1:22" s="4" customFormat="1" hidden="1">
      <c r="A49" s="17">
        <v>47</v>
      </c>
      <c r="B49" s="27">
        <v>46032</v>
      </c>
      <c r="C49" s="6" t="s">
        <v>165</v>
      </c>
      <c r="D49" s="71" t="s">
        <v>2399</v>
      </c>
      <c r="E49" s="20" t="s">
        <v>2374</v>
      </c>
      <c r="F49" s="21">
        <v>6071972</v>
      </c>
      <c r="G49" s="21" t="str">
        <f t="shared" si="0"/>
        <v>1972</v>
      </c>
      <c r="H49" s="22">
        <f t="shared" si="1"/>
        <v>54</v>
      </c>
      <c r="I49" s="23"/>
      <c r="J49" s="20" t="s">
        <v>27</v>
      </c>
      <c r="K49" s="6" t="s">
        <v>115</v>
      </c>
      <c r="L49" s="25"/>
      <c r="M49" s="45" t="s">
        <v>166</v>
      </c>
      <c r="N49" s="6"/>
      <c r="O49" s="6" t="s">
        <v>34</v>
      </c>
      <c r="P49" s="6">
        <v>148</v>
      </c>
      <c r="Q49" s="6">
        <v>57</v>
      </c>
      <c r="R49" s="26">
        <v>76</v>
      </c>
      <c r="S49" s="26">
        <v>7</v>
      </c>
      <c r="T49" s="26">
        <v>7</v>
      </c>
      <c r="U49" s="26"/>
      <c r="V49" s="6"/>
    </row>
    <row r="50" spans="1:22" s="4" customFormat="1" hidden="1">
      <c r="A50" s="20">
        <v>48</v>
      </c>
      <c r="B50" s="27">
        <v>46032</v>
      </c>
      <c r="C50" s="6" t="s">
        <v>167</v>
      </c>
      <c r="D50" s="71" t="s">
        <v>2400</v>
      </c>
      <c r="E50" s="20" t="s">
        <v>40</v>
      </c>
      <c r="F50" s="21">
        <v>12041960</v>
      </c>
      <c r="G50" s="21" t="str">
        <f t="shared" si="0"/>
        <v>1960</v>
      </c>
      <c r="H50" s="22">
        <f t="shared" si="1"/>
        <v>66</v>
      </c>
      <c r="I50" s="23" t="s">
        <v>27</v>
      </c>
      <c r="J50" s="20"/>
      <c r="K50" s="6" t="s">
        <v>32</v>
      </c>
      <c r="L50" s="25"/>
      <c r="M50" s="45" t="s">
        <v>168</v>
      </c>
      <c r="N50" s="6"/>
      <c r="O50" s="6" t="s">
        <v>169</v>
      </c>
      <c r="P50" s="6">
        <v>157</v>
      </c>
      <c r="Q50" s="6">
        <v>44</v>
      </c>
      <c r="R50" s="26">
        <v>82</v>
      </c>
      <c r="S50" s="26">
        <v>4</v>
      </c>
      <c r="T50" s="26">
        <v>4</v>
      </c>
      <c r="U50" s="26"/>
      <c r="V50" s="6"/>
    </row>
    <row r="51" spans="1:22" s="4" customFormat="1" hidden="1">
      <c r="A51" s="17">
        <v>49</v>
      </c>
      <c r="B51" s="27">
        <v>46032</v>
      </c>
      <c r="C51" s="6" t="s">
        <v>170</v>
      </c>
      <c r="D51" s="71" t="s">
        <v>2402</v>
      </c>
      <c r="E51" s="20" t="s">
        <v>40</v>
      </c>
      <c r="F51" s="21">
        <v>1031946</v>
      </c>
      <c r="G51" s="21" t="str">
        <f t="shared" si="0"/>
        <v>1946</v>
      </c>
      <c r="H51" s="22">
        <f t="shared" si="1"/>
        <v>80</v>
      </c>
      <c r="I51" s="23" t="s">
        <v>27</v>
      </c>
      <c r="J51" s="20"/>
      <c r="K51" s="6" t="s">
        <v>115</v>
      </c>
      <c r="L51" s="25"/>
      <c r="M51" s="45" t="s">
        <v>171</v>
      </c>
      <c r="O51" s="6" t="s">
        <v>172</v>
      </c>
      <c r="P51" s="6">
        <v>145</v>
      </c>
      <c r="Q51" s="6">
        <v>49</v>
      </c>
      <c r="R51" s="26">
        <v>65</v>
      </c>
      <c r="S51" s="26">
        <v>1</v>
      </c>
      <c r="T51" s="26" t="s">
        <v>156</v>
      </c>
      <c r="U51" s="26"/>
      <c r="V51" s="6"/>
    </row>
    <row r="52" spans="1:22" s="4" customFormat="1" hidden="1">
      <c r="A52" s="20">
        <v>50</v>
      </c>
      <c r="B52" s="27">
        <v>46032</v>
      </c>
      <c r="C52" s="6" t="s">
        <v>173</v>
      </c>
      <c r="D52" s="71" t="s">
        <v>2403</v>
      </c>
      <c r="E52" s="20" t="s">
        <v>40</v>
      </c>
      <c r="F52" s="21">
        <v>1011966</v>
      </c>
      <c r="G52" s="21" t="str">
        <f t="shared" si="0"/>
        <v>1966</v>
      </c>
      <c r="H52" s="22">
        <f t="shared" si="1"/>
        <v>60</v>
      </c>
      <c r="I52" s="23"/>
      <c r="J52" s="20" t="s">
        <v>27</v>
      </c>
      <c r="K52" s="6" t="s">
        <v>115</v>
      </c>
      <c r="L52" s="25"/>
      <c r="M52" s="45" t="s">
        <v>174</v>
      </c>
      <c r="N52" s="6"/>
      <c r="O52" s="6" t="s">
        <v>175</v>
      </c>
      <c r="P52" s="6">
        <v>152</v>
      </c>
      <c r="Q52" s="6">
        <v>40</v>
      </c>
      <c r="R52" s="26">
        <v>81</v>
      </c>
      <c r="S52" s="26">
        <v>4</v>
      </c>
      <c r="T52" s="26">
        <v>5</v>
      </c>
      <c r="U52" s="26"/>
      <c r="V52" s="6"/>
    </row>
    <row r="53" spans="1:22" s="4" customFormat="1" hidden="1">
      <c r="A53" s="17">
        <v>51</v>
      </c>
      <c r="B53" s="27">
        <v>46032</v>
      </c>
      <c r="C53" s="6" t="s">
        <v>176</v>
      </c>
      <c r="D53" s="71" t="s">
        <v>2404</v>
      </c>
      <c r="E53" s="20" t="s">
        <v>40</v>
      </c>
      <c r="F53" s="21">
        <v>10031949</v>
      </c>
      <c r="G53" s="21" t="str">
        <f t="shared" si="0"/>
        <v>1949</v>
      </c>
      <c r="H53" s="22">
        <f t="shared" si="1"/>
        <v>77</v>
      </c>
      <c r="I53" s="23"/>
      <c r="J53" s="20" t="s">
        <v>27</v>
      </c>
      <c r="K53" s="6" t="s">
        <v>115</v>
      </c>
      <c r="L53" s="25"/>
      <c r="M53" s="45" t="s">
        <v>177</v>
      </c>
      <c r="N53" s="6"/>
      <c r="O53" s="6" t="s">
        <v>113</v>
      </c>
      <c r="P53" s="6">
        <v>144</v>
      </c>
      <c r="Q53" s="6">
        <v>38</v>
      </c>
      <c r="R53" s="26">
        <v>77</v>
      </c>
      <c r="S53" s="26" t="s">
        <v>150</v>
      </c>
      <c r="T53" s="26" t="s">
        <v>150</v>
      </c>
      <c r="U53" s="26"/>
      <c r="V53" s="6"/>
    </row>
    <row r="54" spans="1:22" s="4" customFormat="1" hidden="1">
      <c r="A54" s="20">
        <v>52</v>
      </c>
      <c r="B54" s="27">
        <v>46032</v>
      </c>
      <c r="C54" s="6" t="s">
        <v>178</v>
      </c>
      <c r="D54" s="71" t="s">
        <v>2405</v>
      </c>
      <c r="E54" s="20" t="s">
        <v>92</v>
      </c>
      <c r="F54" s="21">
        <v>3101966</v>
      </c>
      <c r="G54" s="21" t="str">
        <f t="shared" si="0"/>
        <v>1966</v>
      </c>
      <c r="H54" s="22">
        <f t="shared" si="1"/>
        <v>60</v>
      </c>
      <c r="I54" s="23" t="s">
        <v>27</v>
      </c>
      <c r="J54" s="20"/>
      <c r="K54" s="6" t="s">
        <v>115</v>
      </c>
      <c r="L54" s="25"/>
      <c r="M54" s="45" t="s">
        <v>179</v>
      </c>
      <c r="N54" s="6"/>
      <c r="O54" s="6" t="s">
        <v>180</v>
      </c>
      <c r="P54" s="6">
        <v>160</v>
      </c>
      <c r="Q54" s="6">
        <v>50</v>
      </c>
      <c r="R54" s="26">
        <v>72</v>
      </c>
      <c r="S54" s="26" t="s">
        <v>150</v>
      </c>
      <c r="T54" s="26">
        <v>3</v>
      </c>
      <c r="U54" s="26"/>
      <c r="V54" s="6"/>
    </row>
    <row r="55" spans="1:22" s="4" customFormat="1" hidden="1">
      <c r="A55" s="17">
        <v>53</v>
      </c>
      <c r="B55" s="27">
        <v>46032</v>
      </c>
      <c r="C55" s="6" t="s">
        <v>181</v>
      </c>
      <c r="D55" s="71" t="s">
        <v>2402</v>
      </c>
      <c r="E55" s="20" t="s">
        <v>40</v>
      </c>
      <c r="F55" s="21">
        <v>1061947</v>
      </c>
      <c r="G55" s="21" t="str">
        <f t="shared" si="0"/>
        <v>1947</v>
      </c>
      <c r="H55" s="22">
        <f t="shared" si="1"/>
        <v>79</v>
      </c>
      <c r="I55" s="23"/>
      <c r="J55" s="20" t="s">
        <v>27</v>
      </c>
      <c r="K55" s="6" t="s">
        <v>115</v>
      </c>
      <c r="L55" s="25"/>
      <c r="M55" s="45" t="s">
        <v>182</v>
      </c>
      <c r="N55" s="6"/>
      <c r="O55" s="6" t="s">
        <v>183</v>
      </c>
      <c r="P55" s="6">
        <v>148</v>
      </c>
      <c r="Q55" s="6">
        <v>41</v>
      </c>
      <c r="R55" s="26">
        <v>76</v>
      </c>
      <c r="S55" s="26">
        <v>4</v>
      </c>
      <c r="T55" s="26">
        <v>5</v>
      </c>
      <c r="U55" s="26"/>
      <c r="V55" s="6"/>
    </row>
    <row r="56" spans="1:22" s="4" customFormat="1" hidden="1">
      <c r="A56" s="20">
        <v>54</v>
      </c>
      <c r="B56" s="27">
        <v>46032</v>
      </c>
      <c r="C56" s="6" t="s">
        <v>184</v>
      </c>
      <c r="D56" s="71" t="s">
        <v>2406</v>
      </c>
      <c r="E56" s="20" t="s">
        <v>2374</v>
      </c>
      <c r="F56" s="21">
        <v>26111999</v>
      </c>
      <c r="G56" s="21" t="str">
        <f t="shared" si="0"/>
        <v>1999</v>
      </c>
      <c r="H56" s="22">
        <f t="shared" si="1"/>
        <v>27</v>
      </c>
      <c r="I56" s="23" t="s">
        <v>27</v>
      </c>
      <c r="J56" s="20"/>
      <c r="K56" s="6" t="s">
        <v>28</v>
      </c>
      <c r="L56" s="25"/>
      <c r="M56" s="45" t="s">
        <v>185</v>
      </c>
      <c r="N56" s="6"/>
      <c r="O56" s="6" t="s">
        <v>186</v>
      </c>
      <c r="P56" s="6">
        <v>170</v>
      </c>
      <c r="Q56" s="6">
        <v>60</v>
      </c>
      <c r="R56" s="26">
        <v>82</v>
      </c>
      <c r="S56" s="26">
        <v>10</v>
      </c>
      <c r="T56" s="26">
        <v>10</v>
      </c>
      <c r="U56" s="26"/>
      <c r="V56" s="6"/>
    </row>
    <row r="57" spans="1:22" s="4" customFormat="1" hidden="1">
      <c r="A57" s="17">
        <v>55</v>
      </c>
      <c r="B57" s="27">
        <v>46032</v>
      </c>
      <c r="C57" s="6" t="s">
        <v>187</v>
      </c>
      <c r="D57" s="71" t="s">
        <v>2407</v>
      </c>
      <c r="E57" s="20" t="s">
        <v>92</v>
      </c>
      <c r="F57" s="21">
        <v>5121969</v>
      </c>
      <c r="G57" s="21" t="str">
        <f t="shared" si="0"/>
        <v>1969</v>
      </c>
      <c r="H57" s="22">
        <f t="shared" si="1"/>
        <v>57</v>
      </c>
      <c r="I57" s="23" t="s">
        <v>27</v>
      </c>
      <c r="J57" s="20"/>
      <c r="K57" s="6" t="s">
        <v>32</v>
      </c>
      <c r="L57" s="25"/>
      <c r="M57" s="45" t="s">
        <v>188</v>
      </c>
      <c r="N57" s="6"/>
      <c r="O57" s="6" t="s">
        <v>189</v>
      </c>
      <c r="P57" s="6">
        <v>157</v>
      </c>
      <c r="Q57" s="6">
        <v>44</v>
      </c>
      <c r="R57" s="26">
        <v>74</v>
      </c>
      <c r="S57" s="26">
        <v>4</v>
      </c>
      <c r="T57" s="26">
        <v>4</v>
      </c>
      <c r="U57" s="26"/>
      <c r="V57" s="6"/>
    </row>
    <row r="58" spans="1:22" s="4" customFormat="1" hidden="1">
      <c r="A58" s="20">
        <v>56</v>
      </c>
      <c r="B58" s="27">
        <v>46032</v>
      </c>
      <c r="C58" s="6" t="s">
        <v>190</v>
      </c>
      <c r="D58" s="71" t="s">
        <v>2403</v>
      </c>
      <c r="E58" s="20" t="s">
        <v>191</v>
      </c>
      <c r="F58" s="21">
        <v>1011950</v>
      </c>
      <c r="G58" s="21" t="str">
        <f t="shared" si="0"/>
        <v>1950</v>
      </c>
      <c r="H58" s="22">
        <f t="shared" si="1"/>
        <v>76</v>
      </c>
      <c r="I58" s="23"/>
      <c r="J58" s="20" t="s">
        <v>27</v>
      </c>
      <c r="K58" s="6" t="s">
        <v>32</v>
      </c>
      <c r="L58" s="25"/>
      <c r="M58" s="45" t="s">
        <v>192</v>
      </c>
      <c r="N58" s="6"/>
      <c r="O58" s="6" t="s">
        <v>193</v>
      </c>
      <c r="P58" s="6">
        <v>149</v>
      </c>
      <c r="Q58" s="6">
        <v>40</v>
      </c>
      <c r="R58" s="26">
        <v>99</v>
      </c>
      <c r="S58" s="26" t="s">
        <v>194</v>
      </c>
      <c r="T58" s="26" t="s">
        <v>150</v>
      </c>
      <c r="U58" s="26"/>
      <c r="V58" s="6"/>
    </row>
    <row r="59" spans="1:22" s="4" customFormat="1" hidden="1">
      <c r="A59" s="17">
        <v>57</v>
      </c>
      <c r="B59" s="27">
        <v>46032</v>
      </c>
      <c r="C59" s="6" t="s">
        <v>195</v>
      </c>
      <c r="D59" s="71" t="s">
        <v>2404</v>
      </c>
      <c r="E59" s="20" t="s">
        <v>2374</v>
      </c>
      <c r="F59" s="21">
        <v>19101972</v>
      </c>
      <c r="G59" s="21" t="str">
        <f t="shared" si="0"/>
        <v>1972</v>
      </c>
      <c r="H59" s="22">
        <f t="shared" si="1"/>
        <v>54</v>
      </c>
      <c r="I59" s="23" t="s">
        <v>27</v>
      </c>
      <c r="J59" s="20"/>
      <c r="K59" s="6" t="s">
        <v>32</v>
      </c>
      <c r="L59" s="45" t="s">
        <v>196</v>
      </c>
      <c r="M59" s="45" t="s">
        <v>197</v>
      </c>
      <c r="N59" s="6"/>
      <c r="O59" s="6" t="s">
        <v>87</v>
      </c>
      <c r="P59" s="6">
        <v>165</v>
      </c>
      <c r="Q59" s="6">
        <v>65</v>
      </c>
      <c r="R59" s="26">
        <v>80</v>
      </c>
      <c r="S59" s="26">
        <v>9</v>
      </c>
      <c r="T59" s="26">
        <v>8</v>
      </c>
      <c r="U59" s="26"/>
      <c r="V59" s="6"/>
    </row>
    <row r="60" spans="1:22" s="4" customFormat="1" hidden="1">
      <c r="A60" s="20">
        <v>58</v>
      </c>
      <c r="B60" s="27">
        <v>46032</v>
      </c>
      <c r="C60" s="6" t="s">
        <v>198</v>
      </c>
      <c r="D60" s="71" t="s">
        <v>2406</v>
      </c>
      <c r="E60" s="20" t="s">
        <v>40</v>
      </c>
      <c r="F60" s="21">
        <v>12071947</v>
      </c>
      <c r="G60" s="21" t="str">
        <f t="shared" si="0"/>
        <v>1947</v>
      </c>
      <c r="H60" s="22">
        <f t="shared" si="1"/>
        <v>79</v>
      </c>
      <c r="I60" s="23"/>
      <c r="J60" s="20" t="s">
        <v>27</v>
      </c>
      <c r="K60" s="6" t="s">
        <v>115</v>
      </c>
      <c r="L60" s="25"/>
      <c r="M60" s="45" t="s">
        <v>199</v>
      </c>
      <c r="N60" s="6"/>
      <c r="O60" s="6" t="s">
        <v>200</v>
      </c>
      <c r="P60" s="6">
        <v>150</v>
      </c>
      <c r="Q60" s="6">
        <v>62</v>
      </c>
      <c r="R60" s="26">
        <v>69</v>
      </c>
      <c r="S60" s="26">
        <v>5</v>
      </c>
      <c r="T60" s="26">
        <v>5</v>
      </c>
      <c r="U60" s="26"/>
      <c r="V60" s="6"/>
    </row>
    <row r="61" spans="1:22" s="4" customFormat="1" hidden="1">
      <c r="A61" s="17">
        <v>59</v>
      </c>
      <c r="B61" s="27">
        <v>46032</v>
      </c>
      <c r="C61" s="6" t="s">
        <v>201</v>
      </c>
      <c r="D61" s="71" t="s">
        <v>2405</v>
      </c>
      <c r="E61" s="20" t="s">
        <v>2374</v>
      </c>
      <c r="F61" s="21">
        <v>5031969</v>
      </c>
      <c r="G61" s="21" t="str">
        <f t="shared" si="0"/>
        <v>1969</v>
      </c>
      <c r="H61" s="22">
        <f t="shared" si="1"/>
        <v>57</v>
      </c>
      <c r="I61" s="23"/>
      <c r="J61" s="20" t="s">
        <v>27</v>
      </c>
      <c r="K61" s="6" t="s">
        <v>115</v>
      </c>
      <c r="L61" s="25"/>
      <c r="M61" s="45" t="s">
        <v>202</v>
      </c>
      <c r="N61" s="6"/>
      <c r="O61" s="6" t="s">
        <v>203</v>
      </c>
      <c r="P61" s="6">
        <v>157</v>
      </c>
      <c r="Q61" s="6">
        <v>52</v>
      </c>
      <c r="R61" s="26">
        <v>83</v>
      </c>
      <c r="S61" s="26">
        <v>4</v>
      </c>
      <c r="T61" s="26">
        <v>3</v>
      </c>
      <c r="U61" s="26"/>
      <c r="V61" s="6"/>
    </row>
    <row r="62" spans="1:22" s="4" customFormat="1" hidden="1">
      <c r="A62" s="20">
        <v>60</v>
      </c>
      <c r="B62" s="27">
        <v>46032</v>
      </c>
      <c r="C62" s="6" t="s">
        <v>204</v>
      </c>
      <c r="D62" s="71" t="s">
        <v>2407</v>
      </c>
      <c r="E62" s="20" t="s">
        <v>40</v>
      </c>
      <c r="F62" s="21">
        <v>28061941</v>
      </c>
      <c r="G62" s="21" t="str">
        <f t="shared" si="0"/>
        <v>1941</v>
      </c>
      <c r="H62" s="22">
        <f t="shared" si="1"/>
        <v>85</v>
      </c>
      <c r="I62" s="23"/>
      <c r="J62" s="20" t="s">
        <v>27</v>
      </c>
      <c r="K62" s="6" t="s">
        <v>115</v>
      </c>
      <c r="L62" s="25"/>
      <c r="M62" s="45" t="s">
        <v>205</v>
      </c>
      <c r="N62" s="6"/>
      <c r="O62" s="6" t="s">
        <v>206</v>
      </c>
      <c r="P62" s="6">
        <v>140</v>
      </c>
      <c r="Q62" s="6">
        <v>35</v>
      </c>
      <c r="R62" s="26">
        <v>80</v>
      </c>
      <c r="S62" s="26">
        <v>1</v>
      </c>
      <c r="T62" s="26">
        <v>2</v>
      </c>
      <c r="U62" s="26"/>
      <c r="V62" s="6"/>
    </row>
    <row r="63" spans="1:22" s="4" customFormat="1" hidden="1">
      <c r="A63" s="17">
        <v>61</v>
      </c>
      <c r="B63" s="27">
        <v>46032</v>
      </c>
      <c r="C63" s="6" t="s">
        <v>207</v>
      </c>
      <c r="D63" s="71" t="s">
        <v>2408</v>
      </c>
      <c r="E63" s="20" t="s">
        <v>40</v>
      </c>
      <c r="F63" s="21">
        <v>20031943</v>
      </c>
      <c r="G63" s="21" t="str">
        <f t="shared" si="0"/>
        <v>1943</v>
      </c>
      <c r="H63" s="22">
        <f t="shared" si="1"/>
        <v>83</v>
      </c>
      <c r="I63" s="23"/>
      <c r="J63" s="20" t="s">
        <v>27</v>
      </c>
      <c r="K63" s="6" t="s">
        <v>115</v>
      </c>
      <c r="L63" s="25"/>
      <c r="M63" s="45" t="s">
        <v>208</v>
      </c>
      <c r="N63" s="6"/>
      <c r="O63" s="6" t="s">
        <v>209</v>
      </c>
      <c r="P63" s="6">
        <v>143</v>
      </c>
      <c r="Q63" s="6">
        <v>52</v>
      </c>
      <c r="R63" s="26">
        <v>74</v>
      </c>
      <c r="S63" s="26">
        <v>1</v>
      </c>
      <c r="T63" s="26" t="s">
        <v>210</v>
      </c>
      <c r="U63" s="26"/>
      <c r="V63" s="6"/>
    </row>
    <row r="64" spans="1:22" s="4" customFormat="1" hidden="1">
      <c r="A64" s="20">
        <v>62</v>
      </c>
      <c r="B64" s="27">
        <v>46032</v>
      </c>
      <c r="C64" s="6" t="s">
        <v>211</v>
      </c>
      <c r="D64" s="71" t="s">
        <v>2409</v>
      </c>
      <c r="E64" s="20" t="s">
        <v>40</v>
      </c>
      <c r="F64" s="21">
        <v>3101941</v>
      </c>
      <c r="G64" s="21" t="str">
        <f t="shared" si="0"/>
        <v>1941</v>
      </c>
      <c r="H64" s="22">
        <f t="shared" si="1"/>
        <v>85</v>
      </c>
      <c r="I64" s="23" t="s">
        <v>212</v>
      </c>
      <c r="J64" s="20"/>
      <c r="K64" s="6" t="s">
        <v>32</v>
      </c>
      <c r="L64" s="25"/>
      <c r="M64" s="45" t="s">
        <v>213</v>
      </c>
      <c r="N64" s="6"/>
      <c r="O64" s="6" t="s">
        <v>214</v>
      </c>
      <c r="P64" s="6">
        <v>156</v>
      </c>
      <c r="Q64" s="6">
        <v>49</v>
      </c>
      <c r="R64" s="26">
        <v>92</v>
      </c>
      <c r="S64" s="26">
        <v>1</v>
      </c>
      <c r="T64" s="26">
        <v>1</v>
      </c>
      <c r="U64" s="26"/>
      <c r="V64" s="6"/>
    </row>
    <row r="65" spans="1:24" s="4" customFormat="1" hidden="1">
      <c r="A65" s="17">
        <v>63</v>
      </c>
      <c r="B65" s="27">
        <v>46032</v>
      </c>
      <c r="C65" s="6" t="s">
        <v>215</v>
      </c>
      <c r="D65" s="71" t="s">
        <v>2410</v>
      </c>
      <c r="E65" s="20" t="s">
        <v>40</v>
      </c>
      <c r="F65" s="21">
        <v>5021946</v>
      </c>
      <c r="G65" s="21" t="str">
        <f t="shared" si="0"/>
        <v>1946</v>
      </c>
      <c r="H65" s="22">
        <f t="shared" si="1"/>
        <v>80</v>
      </c>
      <c r="I65" s="23"/>
      <c r="J65" s="20" t="s">
        <v>27</v>
      </c>
      <c r="K65" s="6" t="s">
        <v>115</v>
      </c>
      <c r="L65" s="25"/>
      <c r="M65" s="45" t="s">
        <v>216</v>
      </c>
      <c r="N65" s="6"/>
      <c r="O65" s="6" t="s">
        <v>217</v>
      </c>
      <c r="P65" s="6">
        <v>155</v>
      </c>
      <c r="Q65" s="6">
        <v>49</v>
      </c>
      <c r="R65" s="26">
        <v>89</v>
      </c>
      <c r="S65" s="26">
        <v>3</v>
      </c>
      <c r="T65" s="26">
        <v>3</v>
      </c>
      <c r="U65" s="26"/>
      <c r="V65" s="6"/>
    </row>
    <row r="66" spans="1:24" s="4" customFormat="1" hidden="1">
      <c r="A66" s="20">
        <v>64</v>
      </c>
      <c r="B66" s="27">
        <v>46032</v>
      </c>
      <c r="C66" s="6" t="s">
        <v>218</v>
      </c>
      <c r="D66" s="71" t="s">
        <v>2411</v>
      </c>
      <c r="E66" s="20" t="s">
        <v>2374</v>
      </c>
      <c r="F66" s="21">
        <v>7051968</v>
      </c>
      <c r="G66" s="21" t="str">
        <f t="shared" si="0"/>
        <v>1968</v>
      </c>
      <c r="H66" s="22">
        <f t="shared" si="1"/>
        <v>58</v>
      </c>
      <c r="I66" s="23" t="s">
        <v>27</v>
      </c>
      <c r="J66" s="20"/>
      <c r="K66" s="6" t="s">
        <v>115</v>
      </c>
      <c r="L66" s="25"/>
      <c r="M66" s="45" t="s">
        <v>219</v>
      </c>
      <c r="N66" s="6"/>
      <c r="O66" s="6" t="s">
        <v>220</v>
      </c>
      <c r="P66" s="6">
        <v>155</v>
      </c>
      <c r="Q66" s="6">
        <v>40.5</v>
      </c>
      <c r="R66" s="26">
        <v>102</v>
      </c>
      <c r="S66" s="26">
        <v>3</v>
      </c>
      <c r="T66" s="26">
        <v>3</v>
      </c>
      <c r="U66" s="26"/>
      <c r="V66" s="6"/>
    </row>
    <row r="67" spans="1:24" s="4" customFormat="1" hidden="1">
      <c r="A67" s="17">
        <v>65</v>
      </c>
      <c r="B67" s="27">
        <v>46032</v>
      </c>
      <c r="C67" s="6" t="s">
        <v>221</v>
      </c>
      <c r="D67" s="71" t="s">
        <v>2412</v>
      </c>
      <c r="E67" s="20" t="s">
        <v>40</v>
      </c>
      <c r="F67" s="21">
        <v>5101948</v>
      </c>
      <c r="G67" s="21" t="str">
        <f t="shared" ref="G67:G130" si="2">RIGHT(F67,4)</f>
        <v>1948</v>
      </c>
      <c r="H67" s="22">
        <f t="shared" ref="H67:H130" si="3">2026-G67</f>
        <v>78</v>
      </c>
      <c r="I67" s="23" t="s">
        <v>27</v>
      </c>
      <c r="J67" s="20"/>
      <c r="K67" s="6" t="s">
        <v>115</v>
      </c>
      <c r="L67" s="25"/>
      <c r="M67" s="45" t="s">
        <v>222</v>
      </c>
      <c r="N67" s="6"/>
      <c r="O67" s="6" t="s">
        <v>133</v>
      </c>
      <c r="P67" s="6">
        <v>158</v>
      </c>
      <c r="Q67" s="6">
        <v>58</v>
      </c>
      <c r="R67" s="26">
        <v>79</v>
      </c>
      <c r="S67" s="26" t="s">
        <v>129</v>
      </c>
      <c r="T67" s="26"/>
      <c r="U67" s="26"/>
      <c r="V67" s="6"/>
    </row>
    <row r="68" spans="1:24" s="4" customFormat="1" hidden="1">
      <c r="A68" s="20">
        <v>66</v>
      </c>
      <c r="B68" s="27">
        <v>46032</v>
      </c>
      <c r="C68" s="6" t="s">
        <v>223</v>
      </c>
      <c r="D68" s="71" t="s">
        <v>2413</v>
      </c>
      <c r="E68" s="20" t="s">
        <v>40</v>
      </c>
      <c r="F68" s="21">
        <v>24061948</v>
      </c>
      <c r="G68" s="21" t="str">
        <f t="shared" si="2"/>
        <v>1948</v>
      </c>
      <c r="H68" s="22">
        <f t="shared" si="3"/>
        <v>78</v>
      </c>
      <c r="I68" s="23"/>
      <c r="J68" s="20" t="s">
        <v>27</v>
      </c>
      <c r="K68" s="6" t="s">
        <v>32</v>
      </c>
      <c r="L68" s="25"/>
      <c r="M68" s="45" t="s">
        <v>224</v>
      </c>
      <c r="N68" s="6"/>
      <c r="O68" s="6" t="s">
        <v>206</v>
      </c>
      <c r="P68" s="6">
        <v>147</v>
      </c>
      <c r="Q68" s="6">
        <v>56</v>
      </c>
      <c r="R68" s="26">
        <v>82</v>
      </c>
      <c r="S68" s="26">
        <v>5</v>
      </c>
      <c r="T68" s="26">
        <v>4</v>
      </c>
      <c r="U68" s="26"/>
      <c r="V68" s="6"/>
    </row>
    <row r="69" spans="1:24" s="4" customFormat="1" hidden="1">
      <c r="A69" s="17">
        <v>67</v>
      </c>
      <c r="B69" s="27">
        <v>46032</v>
      </c>
      <c r="C69" s="6" t="s">
        <v>225</v>
      </c>
      <c r="D69" s="71" t="s">
        <v>2414</v>
      </c>
      <c r="E69" s="20" t="s">
        <v>40</v>
      </c>
      <c r="F69" s="21">
        <v>29061952</v>
      </c>
      <c r="G69" s="21" t="str">
        <f t="shared" si="2"/>
        <v>1952</v>
      </c>
      <c r="H69" s="22">
        <f t="shared" si="3"/>
        <v>74</v>
      </c>
      <c r="I69" s="23" t="s">
        <v>27</v>
      </c>
      <c r="J69" s="20"/>
      <c r="K69" s="6" t="s">
        <v>115</v>
      </c>
      <c r="L69" s="25"/>
      <c r="M69" s="45" t="s">
        <v>226</v>
      </c>
      <c r="N69" s="6"/>
      <c r="O69" s="6" t="s">
        <v>227</v>
      </c>
      <c r="P69" s="6">
        <v>158</v>
      </c>
      <c r="Q69" s="6">
        <v>56</v>
      </c>
      <c r="R69" s="26">
        <v>84</v>
      </c>
      <c r="S69" s="26">
        <v>4</v>
      </c>
      <c r="T69" s="26">
        <v>4</v>
      </c>
      <c r="U69" s="26"/>
      <c r="V69" s="6"/>
    </row>
    <row r="70" spans="1:24" s="4" customFormat="1" hidden="1">
      <c r="A70" s="20">
        <v>68</v>
      </c>
      <c r="B70" s="27">
        <v>46032</v>
      </c>
      <c r="C70" s="6" t="s">
        <v>228</v>
      </c>
      <c r="D70" s="71" t="s">
        <v>2411</v>
      </c>
      <c r="E70" s="20" t="s">
        <v>40</v>
      </c>
      <c r="F70" s="21">
        <v>2051947</v>
      </c>
      <c r="G70" s="21" t="str">
        <f t="shared" si="2"/>
        <v>1947</v>
      </c>
      <c r="H70" s="22">
        <f t="shared" si="3"/>
        <v>79</v>
      </c>
      <c r="I70" s="23" t="s">
        <v>27</v>
      </c>
      <c r="J70" s="20"/>
      <c r="K70" s="6" t="s">
        <v>115</v>
      </c>
      <c r="L70" s="25"/>
      <c r="M70" s="45" t="s">
        <v>229</v>
      </c>
      <c r="N70" s="6"/>
      <c r="O70" s="6" t="s">
        <v>183</v>
      </c>
      <c r="P70" s="6">
        <v>154</v>
      </c>
      <c r="Q70" s="6">
        <v>43</v>
      </c>
      <c r="R70" s="26">
        <v>97</v>
      </c>
      <c r="S70" s="26">
        <v>2</v>
      </c>
      <c r="T70" s="26">
        <v>2</v>
      </c>
      <c r="U70" s="26"/>
      <c r="V70" s="6"/>
    </row>
    <row r="71" spans="1:24" s="4" customFormat="1" hidden="1">
      <c r="A71" s="17">
        <v>69</v>
      </c>
      <c r="B71" s="27">
        <v>46032</v>
      </c>
      <c r="C71" s="6" t="s">
        <v>230</v>
      </c>
      <c r="D71" s="71" t="s">
        <v>2415</v>
      </c>
      <c r="E71" s="20" t="s">
        <v>2374</v>
      </c>
      <c r="F71" s="21">
        <v>1021950</v>
      </c>
      <c r="G71" s="21" t="str">
        <f t="shared" si="2"/>
        <v>1950</v>
      </c>
      <c r="H71" s="22">
        <f t="shared" si="3"/>
        <v>76</v>
      </c>
      <c r="I71" s="23" t="s">
        <v>27</v>
      </c>
      <c r="J71" s="20"/>
      <c r="K71" s="6" t="s">
        <v>32</v>
      </c>
      <c r="L71" s="25"/>
      <c r="M71" s="45" t="s">
        <v>231</v>
      </c>
      <c r="N71" s="6"/>
      <c r="O71" s="6" t="s">
        <v>232</v>
      </c>
      <c r="P71" s="6">
        <v>155</v>
      </c>
      <c r="Q71" s="6">
        <v>53</v>
      </c>
      <c r="R71" s="26">
        <v>80</v>
      </c>
      <c r="S71" s="26">
        <v>3</v>
      </c>
      <c r="T71" s="26">
        <v>5</v>
      </c>
      <c r="U71" s="26"/>
      <c r="V71" s="6"/>
    </row>
    <row r="72" spans="1:24" s="4" customFormat="1" hidden="1">
      <c r="A72" s="20">
        <v>70</v>
      </c>
      <c r="B72" s="27">
        <v>46032</v>
      </c>
      <c r="C72" s="6" t="s">
        <v>233</v>
      </c>
      <c r="D72" s="71" t="s">
        <v>2414</v>
      </c>
      <c r="E72" s="20" t="s">
        <v>40</v>
      </c>
      <c r="F72" s="21">
        <v>12061949</v>
      </c>
      <c r="G72" s="21" t="str">
        <f t="shared" si="2"/>
        <v>1949</v>
      </c>
      <c r="H72" s="22">
        <f t="shared" si="3"/>
        <v>77</v>
      </c>
      <c r="I72" s="23" t="s">
        <v>27</v>
      </c>
      <c r="J72" s="20"/>
      <c r="K72" s="6" t="s">
        <v>115</v>
      </c>
      <c r="L72" s="25"/>
      <c r="M72" s="45" t="s">
        <v>234</v>
      </c>
      <c r="N72" s="6"/>
      <c r="O72" s="6" t="s">
        <v>235</v>
      </c>
      <c r="P72" s="6">
        <v>170</v>
      </c>
      <c r="Q72" s="6">
        <v>60</v>
      </c>
      <c r="R72" s="26">
        <v>86</v>
      </c>
      <c r="S72" s="26" t="s">
        <v>150</v>
      </c>
      <c r="T72" s="26">
        <v>1</v>
      </c>
      <c r="U72" s="26"/>
      <c r="V72" s="6"/>
    </row>
    <row r="73" spans="1:24" s="4" customFormat="1" hidden="1">
      <c r="A73" s="17">
        <v>71</v>
      </c>
      <c r="B73" s="27">
        <v>46032</v>
      </c>
      <c r="C73" s="6" t="s">
        <v>236</v>
      </c>
      <c r="D73" s="71" t="s">
        <v>2409</v>
      </c>
      <c r="E73" s="20" t="s">
        <v>40</v>
      </c>
      <c r="F73" s="21">
        <v>1021961</v>
      </c>
      <c r="G73" s="21" t="str">
        <f t="shared" si="2"/>
        <v>1961</v>
      </c>
      <c r="H73" s="22">
        <f t="shared" si="3"/>
        <v>65</v>
      </c>
      <c r="I73" s="23" t="s">
        <v>27</v>
      </c>
      <c r="J73" s="20"/>
      <c r="K73" s="6" t="s">
        <v>32</v>
      </c>
      <c r="L73" s="25"/>
      <c r="M73" s="45" t="s">
        <v>237</v>
      </c>
      <c r="N73" s="6"/>
      <c r="O73" s="6" t="s">
        <v>238</v>
      </c>
      <c r="P73" s="6">
        <v>155</v>
      </c>
      <c r="Q73" s="6">
        <v>47</v>
      </c>
      <c r="R73" s="26">
        <v>76</v>
      </c>
      <c r="S73" s="26">
        <v>2</v>
      </c>
      <c r="T73" s="26" t="s">
        <v>210</v>
      </c>
      <c r="U73" s="26"/>
      <c r="V73" s="6"/>
    </row>
    <row r="74" spans="1:24" s="4" customFormat="1" hidden="1">
      <c r="A74" s="20">
        <v>72</v>
      </c>
      <c r="B74" s="27">
        <v>46032</v>
      </c>
      <c r="C74" s="6" t="s">
        <v>239</v>
      </c>
      <c r="D74" s="71" t="s">
        <v>2412</v>
      </c>
      <c r="E74" s="20" t="s">
        <v>40</v>
      </c>
      <c r="F74" s="21">
        <v>13011966</v>
      </c>
      <c r="G74" s="21" t="str">
        <f t="shared" si="2"/>
        <v>1966</v>
      </c>
      <c r="H74" s="22">
        <f t="shared" si="3"/>
        <v>60</v>
      </c>
      <c r="I74" s="23" t="s">
        <v>27</v>
      </c>
      <c r="J74" s="20"/>
      <c r="K74" s="6" t="s">
        <v>115</v>
      </c>
      <c r="L74" s="25"/>
      <c r="M74" s="45" t="s">
        <v>240</v>
      </c>
      <c r="N74" s="6"/>
      <c r="O74" s="6" t="s">
        <v>241</v>
      </c>
      <c r="P74" s="6">
        <v>166</v>
      </c>
      <c r="Q74" s="6">
        <v>56</v>
      </c>
      <c r="R74" s="26">
        <v>61</v>
      </c>
      <c r="S74" s="26">
        <v>6</v>
      </c>
      <c r="T74" s="26">
        <v>5</v>
      </c>
      <c r="U74" s="26"/>
      <c r="V74" s="6"/>
    </row>
    <row r="75" spans="1:24" s="4" customFormat="1" hidden="1">
      <c r="A75" s="17">
        <v>73</v>
      </c>
      <c r="B75" s="27">
        <v>46032</v>
      </c>
      <c r="C75" s="6" t="s">
        <v>242</v>
      </c>
      <c r="D75" s="71" t="s">
        <v>2415</v>
      </c>
      <c r="E75" s="20" t="s">
        <v>40</v>
      </c>
      <c r="F75" s="21">
        <v>11111952</v>
      </c>
      <c r="G75" s="21" t="str">
        <f t="shared" si="2"/>
        <v>1952</v>
      </c>
      <c r="H75" s="22">
        <f t="shared" si="3"/>
        <v>74</v>
      </c>
      <c r="I75" s="23"/>
      <c r="J75" s="20" t="s">
        <v>27</v>
      </c>
      <c r="K75" s="6" t="s">
        <v>115</v>
      </c>
      <c r="L75" s="25"/>
      <c r="M75" s="45" t="s">
        <v>243</v>
      </c>
      <c r="N75" s="6"/>
      <c r="O75" s="6" t="s">
        <v>244</v>
      </c>
      <c r="P75" s="6">
        <v>144</v>
      </c>
      <c r="Q75" s="6">
        <v>48</v>
      </c>
      <c r="R75" s="26">
        <v>84</v>
      </c>
      <c r="S75" s="26">
        <v>1</v>
      </c>
      <c r="T75" s="26">
        <v>1</v>
      </c>
      <c r="U75" s="26"/>
      <c r="V75" s="6"/>
    </row>
    <row r="76" spans="1:24" s="4" customFormat="1" hidden="1">
      <c r="A76" s="20">
        <v>74</v>
      </c>
      <c r="B76" s="27">
        <v>46032</v>
      </c>
      <c r="C76" s="6" t="s">
        <v>245</v>
      </c>
      <c r="D76" s="71" t="s">
        <v>2408</v>
      </c>
      <c r="E76" s="20" t="s">
        <v>40</v>
      </c>
      <c r="F76" s="21">
        <v>9101955</v>
      </c>
      <c r="G76" s="21" t="str">
        <f t="shared" si="2"/>
        <v>1955</v>
      </c>
      <c r="H76" s="22">
        <f t="shared" si="3"/>
        <v>71</v>
      </c>
      <c r="I76" s="23"/>
      <c r="J76" s="20" t="s">
        <v>27</v>
      </c>
      <c r="K76" s="6" t="s">
        <v>32</v>
      </c>
      <c r="L76" s="25"/>
      <c r="M76" s="45" t="s">
        <v>246</v>
      </c>
      <c r="N76" s="6"/>
      <c r="O76" s="6" t="s">
        <v>247</v>
      </c>
      <c r="P76" s="6">
        <v>155</v>
      </c>
      <c r="Q76" s="6">
        <v>45</v>
      </c>
      <c r="R76" s="26">
        <v>93</v>
      </c>
      <c r="S76" s="26">
        <v>4</v>
      </c>
      <c r="T76" s="26">
        <v>3</v>
      </c>
      <c r="U76" s="26"/>
      <c r="V76" s="6"/>
    </row>
    <row r="77" spans="1:24" s="4" customFormat="1" hidden="1">
      <c r="A77" s="17">
        <v>75</v>
      </c>
      <c r="B77" s="27">
        <v>46032</v>
      </c>
      <c r="C77" s="6" t="s">
        <v>26</v>
      </c>
      <c r="D77" s="71" t="s">
        <v>2413</v>
      </c>
      <c r="E77" s="20" t="s">
        <v>40</v>
      </c>
      <c r="F77" s="21">
        <v>10031947</v>
      </c>
      <c r="G77" s="21" t="str">
        <f t="shared" si="2"/>
        <v>1947</v>
      </c>
      <c r="H77" s="22">
        <f t="shared" si="3"/>
        <v>79</v>
      </c>
      <c r="I77" s="23"/>
      <c r="J77" s="20" t="s">
        <v>27</v>
      </c>
      <c r="K77" s="6" t="s">
        <v>32</v>
      </c>
      <c r="L77" s="25"/>
      <c r="M77" s="45" t="s">
        <v>248</v>
      </c>
      <c r="N77" s="6"/>
      <c r="O77" s="6" t="s">
        <v>60</v>
      </c>
      <c r="P77" s="6">
        <v>150</v>
      </c>
      <c r="Q77" s="6">
        <v>40</v>
      </c>
      <c r="R77" s="26">
        <v>85</v>
      </c>
      <c r="S77" s="26">
        <v>4</v>
      </c>
      <c r="T77" s="26">
        <v>3</v>
      </c>
      <c r="U77" s="26"/>
      <c r="V77" s="6"/>
    </row>
    <row r="78" spans="1:24" s="4" customFormat="1" hidden="1">
      <c r="A78" s="20">
        <v>76</v>
      </c>
      <c r="B78" s="27">
        <v>46032</v>
      </c>
      <c r="C78" s="6" t="s">
        <v>249</v>
      </c>
      <c r="D78" s="71" t="s">
        <v>2410</v>
      </c>
      <c r="E78" s="20" t="s">
        <v>40</v>
      </c>
      <c r="F78" s="21">
        <v>10031951</v>
      </c>
      <c r="G78" s="21" t="str">
        <f t="shared" si="2"/>
        <v>1951</v>
      </c>
      <c r="H78" s="22">
        <f t="shared" si="3"/>
        <v>75</v>
      </c>
      <c r="I78" s="23" t="s">
        <v>27</v>
      </c>
      <c r="J78" s="20"/>
      <c r="K78" s="6" t="s">
        <v>32</v>
      </c>
      <c r="L78" s="25"/>
      <c r="M78" s="45" t="s">
        <v>250</v>
      </c>
      <c r="N78" s="6"/>
      <c r="O78" s="6" t="s">
        <v>251</v>
      </c>
      <c r="P78" s="6">
        <v>155</v>
      </c>
      <c r="Q78" s="6">
        <v>49</v>
      </c>
      <c r="R78" s="26">
        <v>121</v>
      </c>
      <c r="S78" s="26">
        <v>4</v>
      </c>
      <c r="T78" s="26">
        <v>2</v>
      </c>
      <c r="U78" s="26"/>
      <c r="V78" s="6" t="s">
        <v>252</v>
      </c>
    </row>
    <row r="79" spans="1:24" s="4" customFormat="1" hidden="1">
      <c r="A79" s="17">
        <v>77</v>
      </c>
      <c r="B79" s="27">
        <v>46032</v>
      </c>
      <c r="C79" s="6" t="s">
        <v>253</v>
      </c>
      <c r="D79" s="71" t="s">
        <v>2416</v>
      </c>
      <c r="E79" s="20" t="s">
        <v>92</v>
      </c>
      <c r="F79" s="21">
        <v>7121970</v>
      </c>
      <c r="G79" s="21" t="str">
        <f t="shared" si="2"/>
        <v>1970</v>
      </c>
      <c r="H79" s="22">
        <f t="shared" si="3"/>
        <v>56</v>
      </c>
      <c r="I79" s="23"/>
      <c r="J79" s="20" t="s">
        <v>27</v>
      </c>
      <c r="K79" s="6" t="s">
        <v>32</v>
      </c>
      <c r="L79" s="25"/>
      <c r="M79" s="45" t="s">
        <v>254</v>
      </c>
      <c r="N79" s="6"/>
      <c r="O79" s="6" t="s">
        <v>255</v>
      </c>
      <c r="P79" s="6">
        <v>145</v>
      </c>
      <c r="Q79" s="6">
        <v>50</v>
      </c>
      <c r="R79" s="26">
        <v>107</v>
      </c>
      <c r="S79" s="26">
        <v>8</v>
      </c>
      <c r="T79" s="26">
        <v>7</v>
      </c>
      <c r="U79" s="26"/>
      <c r="V79" s="6"/>
    </row>
    <row r="80" spans="1:24" s="4" customFormat="1" hidden="1">
      <c r="A80" s="20">
        <v>78</v>
      </c>
      <c r="B80" s="27">
        <v>46032</v>
      </c>
      <c r="C80" s="6" t="s">
        <v>256</v>
      </c>
      <c r="D80" s="71" t="s">
        <v>2399</v>
      </c>
      <c r="E80" s="20" t="s">
        <v>40</v>
      </c>
      <c r="F80" s="21">
        <v>20101945</v>
      </c>
      <c r="G80" s="21" t="str">
        <f t="shared" si="2"/>
        <v>1945</v>
      </c>
      <c r="H80" s="22">
        <f t="shared" si="3"/>
        <v>81</v>
      </c>
      <c r="I80" s="23"/>
      <c r="J80" s="20" t="s">
        <v>27</v>
      </c>
      <c r="K80" s="6" t="s">
        <v>32</v>
      </c>
      <c r="L80" s="25"/>
      <c r="M80" s="45" t="s">
        <v>257</v>
      </c>
      <c r="N80" s="6"/>
      <c r="O80" s="6" t="s">
        <v>258</v>
      </c>
      <c r="P80" s="6">
        <v>148</v>
      </c>
      <c r="Q80" s="6">
        <v>45</v>
      </c>
      <c r="R80" s="26">
        <v>100</v>
      </c>
      <c r="S80" s="26">
        <v>2</v>
      </c>
      <c r="T80" s="26">
        <v>3</v>
      </c>
      <c r="U80" s="26"/>
      <c r="V80" s="6"/>
      <c r="W80" s="4">
        <v>1</v>
      </c>
      <c r="X80" s="4" t="s">
        <v>259</v>
      </c>
    </row>
    <row r="81" spans="1:23" s="4" customFormat="1">
      <c r="A81" s="17">
        <v>79</v>
      </c>
      <c r="B81" s="27">
        <v>46032</v>
      </c>
      <c r="C81" s="6" t="s">
        <v>260</v>
      </c>
      <c r="D81" s="71" t="s">
        <v>2417</v>
      </c>
      <c r="E81" s="20" t="s">
        <v>261</v>
      </c>
      <c r="F81" s="21">
        <v>1011940</v>
      </c>
      <c r="G81" s="21" t="str">
        <f t="shared" si="2"/>
        <v>1940</v>
      </c>
      <c r="H81" s="22">
        <f t="shared" si="3"/>
        <v>86</v>
      </c>
      <c r="I81" s="23"/>
      <c r="J81" s="20" t="s">
        <v>27</v>
      </c>
      <c r="K81" s="6" t="s">
        <v>32</v>
      </c>
      <c r="L81" s="25"/>
      <c r="M81" s="45" t="s">
        <v>262</v>
      </c>
      <c r="N81" s="6"/>
      <c r="O81" s="6" t="s">
        <v>263</v>
      </c>
      <c r="P81" s="6">
        <v>135</v>
      </c>
      <c r="Q81" s="6">
        <v>40</v>
      </c>
      <c r="R81" s="26">
        <v>89</v>
      </c>
      <c r="S81" s="26">
        <v>4</v>
      </c>
      <c r="T81" s="26">
        <v>5</v>
      </c>
      <c r="U81" s="26"/>
      <c r="V81" s="6" t="s">
        <v>252</v>
      </c>
      <c r="W81" s="4">
        <v>2</v>
      </c>
    </row>
    <row r="82" spans="1:23" s="4" customFormat="1" hidden="1">
      <c r="A82" s="20">
        <v>80</v>
      </c>
      <c r="B82" s="27">
        <v>46032</v>
      </c>
      <c r="C82" s="6" t="s">
        <v>264</v>
      </c>
      <c r="D82" s="71" t="s">
        <v>2417</v>
      </c>
      <c r="E82" s="20" t="s">
        <v>92</v>
      </c>
      <c r="F82" s="21">
        <v>15121970</v>
      </c>
      <c r="G82" s="21" t="str">
        <f t="shared" si="2"/>
        <v>1970</v>
      </c>
      <c r="H82" s="22">
        <f t="shared" si="3"/>
        <v>56</v>
      </c>
      <c r="I82" s="23" t="s">
        <v>27</v>
      </c>
      <c r="J82" s="20"/>
      <c r="K82" s="6" t="s">
        <v>32</v>
      </c>
      <c r="L82" s="25"/>
      <c r="M82" s="45" t="s">
        <v>265</v>
      </c>
      <c r="N82" s="6"/>
      <c r="O82" s="6" t="s">
        <v>266</v>
      </c>
      <c r="P82" s="6">
        <v>150</v>
      </c>
      <c r="Q82" s="6">
        <v>56</v>
      </c>
      <c r="R82" s="26">
        <v>94</v>
      </c>
      <c r="S82" s="26">
        <v>6</v>
      </c>
      <c r="T82" s="26">
        <v>6</v>
      </c>
      <c r="U82" s="26"/>
      <c r="V82" s="6" t="s">
        <v>252</v>
      </c>
      <c r="W82" s="4">
        <v>3</v>
      </c>
    </row>
    <row r="83" spans="1:23" s="4" customFormat="1" hidden="1">
      <c r="A83" s="17">
        <v>81</v>
      </c>
      <c r="B83" s="27">
        <v>46032</v>
      </c>
      <c r="C83" s="6" t="s">
        <v>267</v>
      </c>
      <c r="D83" s="71" t="s">
        <v>2399</v>
      </c>
      <c r="E83" s="20" t="s">
        <v>40</v>
      </c>
      <c r="F83" s="21">
        <v>3071948</v>
      </c>
      <c r="G83" s="21" t="str">
        <f t="shared" si="2"/>
        <v>1948</v>
      </c>
      <c r="H83" s="22">
        <f t="shared" si="3"/>
        <v>78</v>
      </c>
      <c r="I83" s="23"/>
      <c r="J83" s="20" t="s">
        <v>27</v>
      </c>
      <c r="K83" s="6" t="s">
        <v>28</v>
      </c>
      <c r="L83" s="25"/>
      <c r="M83" s="45" t="s">
        <v>268</v>
      </c>
      <c r="N83" s="6"/>
      <c r="O83" s="6" t="s">
        <v>143</v>
      </c>
      <c r="P83" s="6">
        <v>160</v>
      </c>
      <c r="Q83" s="6">
        <v>37</v>
      </c>
      <c r="R83" s="26">
        <v>95</v>
      </c>
      <c r="S83" s="26">
        <v>5</v>
      </c>
      <c r="T83" s="26">
        <v>6</v>
      </c>
      <c r="U83" s="26"/>
      <c r="V83" s="6" t="s">
        <v>252</v>
      </c>
      <c r="W83" s="4">
        <v>4</v>
      </c>
    </row>
    <row r="84" spans="1:23" s="4" customFormat="1" hidden="1">
      <c r="A84" s="20">
        <v>82</v>
      </c>
      <c r="B84" s="27">
        <v>46032</v>
      </c>
      <c r="C84" s="6" t="s">
        <v>269</v>
      </c>
      <c r="D84" s="71" t="s">
        <v>2416</v>
      </c>
      <c r="E84" s="20" t="s">
        <v>40</v>
      </c>
      <c r="F84" s="21">
        <v>12121954</v>
      </c>
      <c r="G84" s="21" t="str">
        <f t="shared" si="2"/>
        <v>1954</v>
      </c>
      <c r="H84" s="22">
        <f t="shared" si="3"/>
        <v>72</v>
      </c>
      <c r="I84" s="23"/>
      <c r="J84" s="20" t="s">
        <v>27</v>
      </c>
      <c r="K84" s="6" t="s">
        <v>28</v>
      </c>
      <c r="L84" s="25"/>
      <c r="M84" s="45" t="s">
        <v>270</v>
      </c>
      <c r="N84" s="6"/>
      <c r="O84" s="6" t="s">
        <v>143</v>
      </c>
      <c r="P84" s="6">
        <v>165</v>
      </c>
      <c r="Q84" s="6">
        <v>45</v>
      </c>
      <c r="R84" s="26">
        <v>70</v>
      </c>
      <c r="S84" s="26"/>
      <c r="T84" s="26"/>
      <c r="U84" s="26"/>
      <c r="V84" s="6" t="s">
        <v>252</v>
      </c>
      <c r="W84" s="4">
        <v>5</v>
      </c>
    </row>
    <row r="85" spans="1:23" s="4" customFormat="1" hidden="1">
      <c r="A85" s="17">
        <v>83</v>
      </c>
      <c r="B85" s="27">
        <v>46032</v>
      </c>
      <c r="C85" s="6" t="s">
        <v>271</v>
      </c>
      <c r="D85" s="71" t="s">
        <v>2399</v>
      </c>
      <c r="E85" s="20" t="s">
        <v>40</v>
      </c>
      <c r="F85" s="21">
        <v>3021949</v>
      </c>
      <c r="G85" s="21" t="str">
        <f t="shared" si="2"/>
        <v>1949</v>
      </c>
      <c r="H85" s="22">
        <f t="shared" si="3"/>
        <v>77</v>
      </c>
      <c r="I85" s="23"/>
      <c r="J85" s="20" t="s">
        <v>27</v>
      </c>
      <c r="K85" s="6" t="s">
        <v>28</v>
      </c>
      <c r="L85" s="25"/>
      <c r="M85" s="45" t="s">
        <v>272</v>
      </c>
      <c r="N85" s="6"/>
      <c r="O85" s="6" t="s">
        <v>273</v>
      </c>
      <c r="P85" s="6">
        <v>150</v>
      </c>
      <c r="Q85" s="6">
        <v>44</v>
      </c>
      <c r="R85" s="26"/>
      <c r="S85" s="26">
        <v>5</v>
      </c>
      <c r="T85" s="26">
        <v>4</v>
      </c>
      <c r="U85" s="26"/>
      <c r="V85" s="6" t="s">
        <v>252</v>
      </c>
      <c r="W85" s="4">
        <v>6</v>
      </c>
    </row>
    <row r="86" spans="1:23" s="4" customFormat="1" hidden="1">
      <c r="A86" s="20">
        <v>84</v>
      </c>
      <c r="B86" s="27">
        <v>46032</v>
      </c>
      <c r="C86" s="6" t="s">
        <v>154</v>
      </c>
      <c r="D86" s="71" t="s">
        <v>2416</v>
      </c>
      <c r="E86" s="20" t="s">
        <v>2374</v>
      </c>
      <c r="F86" s="21">
        <v>10111947</v>
      </c>
      <c r="G86" s="21" t="str">
        <f t="shared" si="2"/>
        <v>1947</v>
      </c>
      <c r="H86" s="22">
        <f t="shared" si="3"/>
        <v>79</v>
      </c>
      <c r="I86" s="23"/>
      <c r="J86" s="20" t="s">
        <v>27</v>
      </c>
      <c r="K86" s="6" t="s">
        <v>28</v>
      </c>
      <c r="L86" s="25"/>
      <c r="M86" s="45" t="s">
        <v>274</v>
      </c>
      <c r="N86" s="6"/>
      <c r="O86" s="6" t="s">
        <v>275</v>
      </c>
      <c r="P86" s="6">
        <v>135</v>
      </c>
      <c r="Q86" s="6">
        <v>30</v>
      </c>
      <c r="R86" s="26">
        <v>95</v>
      </c>
      <c r="S86" s="26">
        <v>4</v>
      </c>
      <c r="T86" s="26">
        <v>5</v>
      </c>
      <c r="U86" s="26"/>
      <c r="V86" s="6" t="s">
        <v>252</v>
      </c>
      <c r="W86" s="4">
        <v>7</v>
      </c>
    </row>
    <row r="87" spans="1:23" s="4" customFormat="1" hidden="1">
      <c r="A87" s="17">
        <v>85</v>
      </c>
      <c r="B87" s="27">
        <v>46032</v>
      </c>
      <c r="C87" s="6" t="s">
        <v>276</v>
      </c>
      <c r="D87" s="71" t="s">
        <v>2418</v>
      </c>
      <c r="E87" s="20" t="s">
        <v>2374</v>
      </c>
      <c r="F87" s="21">
        <v>18101970</v>
      </c>
      <c r="G87" s="21" t="str">
        <f t="shared" si="2"/>
        <v>1970</v>
      </c>
      <c r="H87" s="22">
        <f t="shared" si="3"/>
        <v>56</v>
      </c>
      <c r="I87" s="23"/>
      <c r="J87" s="20" t="s">
        <v>27</v>
      </c>
      <c r="K87" s="6" t="s">
        <v>28</v>
      </c>
      <c r="L87" s="25"/>
      <c r="M87" s="45" t="s">
        <v>277</v>
      </c>
      <c r="N87" s="6"/>
      <c r="O87" s="6" t="s">
        <v>60</v>
      </c>
      <c r="P87" s="6">
        <v>156</v>
      </c>
      <c r="Q87" s="6">
        <v>48</v>
      </c>
      <c r="R87" s="26">
        <v>81</v>
      </c>
      <c r="S87" s="26">
        <v>8</v>
      </c>
      <c r="T87" s="26">
        <v>7</v>
      </c>
      <c r="U87" s="26"/>
      <c r="V87" s="6"/>
      <c r="W87" s="4">
        <v>8</v>
      </c>
    </row>
    <row r="88" spans="1:23" s="4" customFormat="1" hidden="1">
      <c r="A88" s="20">
        <v>86</v>
      </c>
      <c r="B88" s="27">
        <v>46032</v>
      </c>
      <c r="C88" s="6" t="s">
        <v>278</v>
      </c>
      <c r="D88" s="71" t="s">
        <v>2418</v>
      </c>
      <c r="E88" s="20" t="s">
        <v>92</v>
      </c>
      <c r="F88" s="21">
        <v>14011961</v>
      </c>
      <c r="G88" s="21" t="str">
        <f t="shared" si="2"/>
        <v>1961</v>
      </c>
      <c r="H88" s="22">
        <f t="shared" si="3"/>
        <v>65</v>
      </c>
      <c r="I88" s="23" t="s">
        <v>27</v>
      </c>
      <c r="J88" s="20"/>
      <c r="K88" s="6" t="s">
        <v>28</v>
      </c>
      <c r="L88" s="25"/>
      <c r="M88" s="45" t="s">
        <v>279</v>
      </c>
      <c r="N88" s="6"/>
      <c r="O88" s="6" t="s">
        <v>280</v>
      </c>
      <c r="P88" s="6">
        <v>160</v>
      </c>
      <c r="Q88" s="6">
        <v>56</v>
      </c>
      <c r="R88" s="26">
        <v>76</v>
      </c>
      <c r="S88" s="26">
        <v>7</v>
      </c>
      <c r="T88" s="26">
        <v>7</v>
      </c>
      <c r="U88" s="26"/>
      <c r="V88" s="6"/>
      <c r="W88" s="4">
        <v>9</v>
      </c>
    </row>
    <row r="89" spans="1:23" s="4" customFormat="1" hidden="1">
      <c r="A89" s="17">
        <v>87</v>
      </c>
      <c r="B89" s="27">
        <v>46032</v>
      </c>
      <c r="C89" s="6" t="s">
        <v>281</v>
      </c>
      <c r="D89" s="71" t="s">
        <v>2419</v>
      </c>
      <c r="E89" s="20" t="s">
        <v>40</v>
      </c>
      <c r="F89" s="21">
        <v>8061947</v>
      </c>
      <c r="G89" s="21" t="str">
        <f t="shared" si="2"/>
        <v>1947</v>
      </c>
      <c r="H89" s="22">
        <f t="shared" si="3"/>
        <v>79</v>
      </c>
      <c r="I89" s="23"/>
      <c r="J89" s="20" t="s">
        <v>27</v>
      </c>
      <c r="K89" s="6" t="s">
        <v>28</v>
      </c>
      <c r="L89" s="45" t="s">
        <v>282</v>
      </c>
      <c r="M89" s="45" t="s">
        <v>283</v>
      </c>
      <c r="N89" s="6"/>
      <c r="O89" s="6" t="s">
        <v>284</v>
      </c>
      <c r="P89" s="6">
        <v>153</v>
      </c>
      <c r="Q89" s="6">
        <v>57</v>
      </c>
      <c r="R89" s="26"/>
      <c r="S89" s="26">
        <v>5</v>
      </c>
      <c r="T89" s="26">
        <v>5</v>
      </c>
      <c r="U89" s="26"/>
      <c r="V89" s="6" t="s">
        <v>252</v>
      </c>
      <c r="W89" s="4">
        <v>10</v>
      </c>
    </row>
    <row r="90" spans="1:23" s="4" customFormat="1" hidden="1">
      <c r="A90" s="20">
        <v>88</v>
      </c>
      <c r="B90" s="27">
        <v>46032</v>
      </c>
      <c r="C90" s="6" t="s">
        <v>285</v>
      </c>
      <c r="D90" s="71" t="s">
        <v>2419</v>
      </c>
      <c r="E90" s="20" t="s">
        <v>2374</v>
      </c>
      <c r="F90" s="21">
        <v>10021972</v>
      </c>
      <c r="G90" s="21" t="str">
        <f t="shared" si="2"/>
        <v>1972</v>
      </c>
      <c r="H90" s="22">
        <f t="shared" si="3"/>
        <v>54</v>
      </c>
      <c r="I90" s="23" t="s">
        <v>27</v>
      </c>
      <c r="J90" s="20"/>
      <c r="K90" s="6" t="s">
        <v>28</v>
      </c>
      <c r="L90" s="45" t="s">
        <v>286</v>
      </c>
      <c r="M90" s="45" t="s">
        <v>287</v>
      </c>
      <c r="N90" s="6"/>
      <c r="O90" s="6" t="s">
        <v>288</v>
      </c>
      <c r="P90" s="6">
        <v>156</v>
      </c>
      <c r="Q90" s="6">
        <v>57</v>
      </c>
      <c r="R90" s="26"/>
      <c r="S90" s="26">
        <v>5</v>
      </c>
      <c r="T90" s="26">
        <v>5</v>
      </c>
      <c r="U90" s="26"/>
      <c r="V90" s="6" t="s">
        <v>252</v>
      </c>
      <c r="W90" s="4">
        <v>11</v>
      </c>
    </row>
    <row r="91" spans="1:23" s="4" customFormat="1" hidden="1">
      <c r="A91" s="17">
        <v>89</v>
      </c>
      <c r="B91" s="27">
        <v>46032</v>
      </c>
      <c r="C91" s="6" t="s">
        <v>289</v>
      </c>
      <c r="D91" s="71" t="s">
        <v>2420</v>
      </c>
      <c r="E91" s="20" t="s">
        <v>40</v>
      </c>
      <c r="F91" s="21">
        <v>4061947</v>
      </c>
      <c r="G91" s="21" t="str">
        <f t="shared" si="2"/>
        <v>1947</v>
      </c>
      <c r="H91" s="22">
        <f t="shared" si="3"/>
        <v>79</v>
      </c>
      <c r="I91" s="23" t="s">
        <v>27</v>
      </c>
      <c r="J91" s="20"/>
      <c r="K91" s="6" t="s">
        <v>115</v>
      </c>
      <c r="L91" s="45" t="s">
        <v>290</v>
      </c>
      <c r="M91" s="45" t="s">
        <v>291</v>
      </c>
      <c r="N91" s="6"/>
      <c r="O91" s="6" t="s">
        <v>87</v>
      </c>
      <c r="P91" s="6">
        <v>160</v>
      </c>
      <c r="Q91" s="6">
        <v>57</v>
      </c>
      <c r="R91" s="26">
        <v>70</v>
      </c>
      <c r="S91" s="26">
        <v>4</v>
      </c>
      <c r="T91" s="26">
        <v>2</v>
      </c>
      <c r="U91" s="26"/>
      <c r="V91" s="6"/>
      <c r="W91" s="4">
        <v>12</v>
      </c>
    </row>
    <row r="92" spans="1:23" s="4" customFormat="1" hidden="1">
      <c r="A92" s="20">
        <v>90</v>
      </c>
      <c r="B92" s="27">
        <v>46032</v>
      </c>
      <c r="C92" s="6" t="s">
        <v>292</v>
      </c>
      <c r="D92" s="71" t="s">
        <v>2420</v>
      </c>
      <c r="E92" s="20" t="s">
        <v>92</v>
      </c>
      <c r="F92" s="21">
        <v>13041985</v>
      </c>
      <c r="G92" s="21" t="str">
        <f t="shared" si="2"/>
        <v>1985</v>
      </c>
      <c r="H92" s="22">
        <f t="shared" si="3"/>
        <v>41</v>
      </c>
      <c r="I92" s="23"/>
      <c r="J92" s="20" t="s">
        <v>27</v>
      </c>
      <c r="K92" s="6" t="s">
        <v>28</v>
      </c>
      <c r="L92" s="45" t="s">
        <v>282</v>
      </c>
      <c r="M92" s="45" t="s">
        <v>293</v>
      </c>
      <c r="N92" s="6"/>
      <c r="O92" s="6" t="s">
        <v>34</v>
      </c>
      <c r="P92" s="6">
        <v>153</v>
      </c>
      <c r="Q92" s="6">
        <v>45</v>
      </c>
      <c r="R92" s="26">
        <v>85</v>
      </c>
      <c r="S92" s="26">
        <v>9</v>
      </c>
      <c r="T92" s="26">
        <v>9</v>
      </c>
      <c r="U92" s="26"/>
      <c r="V92" s="6" t="s">
        <v>294</v>
      </c>
      <c r="W92" s="4">
        <v>13</v>
      </c>
    </row>
    <row r="93" spans="1:23" s="4" customFormat="1" hidden="1">
      <c r="A93" s="17">
        <v>91</v>
      </c>
      <c r="B93" s="27">
        <v>46032</v>
      </c>
      <c r="C93" s="6" t="s">
        <v>295</v>
      </c>
      <c r="D93" s="6"/>
      <c r="E93" s="20" t="s">
        <v>40</v>
      </c>
      <c r="F93" s="21">
        <v>2061945</v>
      </c>
      <c r="G93" s="21" t="str">
        <f t="shared" si="2"/>
        <v>1945</v>
      </c>
      <c r="H93" s="22">
        <f t="shared" si="3"/>
        <v>81</v>
      </c>
      <c r="I93" s="23"/>
      <c r="J93" s="20" t="s">
        <v>27</v>
      </c>
      <c r="K93" s="6" t="s">
        <v>28</v>
      </c>
      <c r="L93" s="25"/>
      <c r="M93" s="45" t="s">
        <v>296</v>
      </c>
      <c r="N93" s="6"/>
      <c r="O93" s="6" t="s">
        <v>87</v>
      </c>
      <c r="P93" s="6">
        <v>140</v>
      </c>
      <c r="Q93" s="6">
        <v>40</v>
      </c>
      <c r="R93" s="26">
        <v>70</v>
      </c>
      <c r="S93" s="26">
        <v>2</v>
      </c>
      <c r="T93" s="26">
        <v>2</v>
      </c>
      <c r="U93" s="26"/>
      <c r="V93" s="6" t="s">
        <v>252</v>
      </c>
      <c r="W93" s="4">
        <v>14</v>
      </c>
    </row>
    <row r="94" spans="1:23" s="4" customFormat="1" ht="15.75" hidden="1">
      <c r="A94" s="20">
        <v>92</v>
      </c>
      <c r="B94" s="27">
        <v>46032</v>
      </c>
      <c r="C94" s="28" t="s">
        <v>297</v>
      </c>
      <c r="D94" s="28"/>
      <c r="E94" s="20" t="s">
        <v>40</v>
      </c>
      <c r="F94" s="21">
        <v>10051942</v>
      </c>
      <c r="G94" s="21" t="str">
        <f t="shared" si="2"/>
        <v>1942</v>
      </c>
      <c r="H94" s="22">
        <f t="shared" si="3"/>
        <v>84</v>
      </c>
      <c r="I94" s="23" t="s">
        <v>27</v>
      </c>
      <c r="J94" s="20"/>
      <c r="K94" s="6" t="s">
        <v>28</v>
      </c>
      <c r="L94" s="25"/>
      <c r="M94" s="45" t="s">
        <v>298</v>
      </c>
      <c r="N94" s="6"/>
      <c r="O94" s="6" t="s">
        <v>87</v>
      </c>
      <c r="P94" s="6">
        <v>155</v>
      </c>
      <c r="Q94" s="6">
        <v>42</v>
      </c>
      <c r="R94" s="26">
        <v>70</v>
      </c>
      <c r="S94" s="26">
        <v>3</v>
      </c>
      <c r="T94" s="26">
        <v>2</v>
      </c>
      <c r="U94" s="26"/>
      <c r="V94" s="6"/>
      <c r="W94" s="4">
        <v>15</v>
      </c>
    </row>
    <row r="95" spans="1:23" s="4" customFormat="1" hidden="1">
      <c r="A95" s="17">
        <v>93</v>
      </c>
      <c r="B95" s="27">
        <v>46032</v>
      </c>
      <c r="C95" s="6" t="s">
        <v>299</v>
      </c>
      <c r="D95" s="6"/>
      <c r="E95" s="20" t="s">
        <v>2374</v>
      </c>
      <c r="F95" s="21">
        <v>10091970</v>
      </c>
      <c r="G95" s="21" t="str">
        <f t="shared" si="2"/>
        <v>1970</v>
      </c>
      <c r="H95" s="22">
        <f t="shared" si="3"/>
        <v>56</v>
      </c>
      <c r="I95" s="23" t="s">
        <v>27</v>
      </c>
      <c r="J95" s="20"/>
      <c r="K95" s="6" t="s">
        <v>28</v>
      </c>
      <c r="L95" s="25"/>
      <c r="M95" s="45" t="s">
        <v>300</v>
      </c>
      <c r="N95" s="6"/>
      <c r="O95" s="6" t="s">
        <v>34</v>
      </c>
      <c r="P95" s="6"/>
      <c r="Q95" s="6"/>
      <c r="R95" s="26"/>
      <c r="S95" s="26">
        <v>5</v>
      </c>
      <c r="T95" s="26">
        <v>3</v>
      </c>
      <c r="U95" s="26"/>
      <c r="V95" s="6" t="s">
        <v>252</v>
      </c>
      <c r="W95" s="4">
        <v>16</v>
      </c>
    </row>
    <row r="96" spans="1:23" s="4" customFormat="1" hidden="1">
      <c r="A96" s="20">
        <v>94</v>
      </c>
      <c r="B96" s="27">
        <v>46032</v>
      </c>
      <c r="C96" s="6" t="s">
        <v>301</v>
      </c>
      <c r="D96" s="6"/>
      <c r="E96" s="20" t="s">
        <v>302</v>
      </c>
      <c r="F96" s="47" t="s">
        <v>303</v>
      </c>
      <c r="G96" s="21" t="str">
        <f t="shared" si="2"/>
        <v>1972</v>
      </c>
      <c r="H96" s="22">
        <f t="shared" si="3"/>
        <v>54</v>
      </c>
      <c r="I96" s="23"/>
      <c r="J96" s="20" t="s">
        <v>27</v>
      </c>
      <c r="K96" s="6" t="s">
        <v>32</v>
      </c>
      <c r="L96" s="45" t="s">
        <v>304</v>
      </c>
      <c r="M96" s="45" t="s">
        <v>305</v>
      </c>
      <c r="N96" s="6"/>
      <c r="O96" s="6" t="s">
        <v>87</v>
      </c>
      <c r="P96" s="6">
        <v>148</v>
      </c>
      <c r="Q96" s="6">
        <v>56</v>
      </c>
      <c r="R96" s="26">
        <v>75</v>
      </c>
      <c r="S96" s="26">
        <v>9</v>
      </c>
      <c r="T96" s="26">
        <v>9</v>
      </c>
      <c r="U96" s="26"/>
      <c r="V96" s="6"/>
      <c r="W96" s="4">
        <v>17</v>
      </c>
    </row>
    <row r="97" spans="1:23" s="4" customFormat="1" hidden="1">
      <c r="A97" s="17">
        <v>95</v>
      </c>
      <c r="B97" s="27">
        <v>46032</v>
      </c>
      <c r="C97" s="6" t="s">
        <v>306</v>
      </c>
      <c r="D97" s="6"/>
      <c r="E97" s="20" t="s">
        <v>40</v>
      </c>
      <c r="F97" s="21">
        <v>11949</v>
      </c>
      <c r="G97" s="21" t="str">
        <f t="shared" si="2"/>
        <v>1949</v>
      </c>
      <c r="H97" s="22">
        <f t="shared" si="3"/>
        <v>77</v>
      </c>
      <c r="I97" s="23"/>
      <c r="J97" s="20" t="s">
        <v>27</v>
      </c>
      <c r="K97" s="6" t="s">
        <v>32</v>
      </c>
      <c r="L97" s="45" t="s">
        <v>307</v>
      </c>
      <c r="M97" s="45" t="s">
        <v>308</v>
      </c>
      <c r="N97" s="6"/>
      <c r="O97" s="6" t="s">
        <v>309</v>
      </c>
      <c r="P97" s="6">
        <v>159</v>
      </c>
      <c r="Q97" s="6">
        <v>55</v>
      </c>
      <c r="R97" s="26">
        <v>90</v>
      </c>
      <c r="S97" s="26">
        <v>10</v>
      </c>
      <c r="T97" s="26">
        <v>10</v>
      </c>
      <c r="U97" s="26"/>
      <c r="V97" s="6"/>
      <c r="W97" s="4">
        <v>18</v>
      </c>
    </row>
    <row r="98" spans="1:23" s="4" customFormat="1" hidden="1">
      <c r="A98" s="20">
        <v>96</v>
      </c>
      <c r="B98" s="27">
        <v>46032</v>
      </c>
      <c r="C98" s="6" t="s">
        <v>310</v>
      </c>
      <c r="D98" s="6"/>
      <c r="E98" s="20" t="s">
        <v>2374</v>
      </c>
      <c r="F98" s="21">
        <v>14081983</v>
      </c>
      <c r="G98" s="21" t="str">
        <f t="shared" si="2"/>
        <v>1983</v>
      </c>
      <c r="H98" s="22">
        <f t="shared" si="3"/>
        <v>43</v>
      </c>
      <c r="I98" s="23"/>
      <c r="J98" s="20" t="s">
        <v>27</v>
      </c>
      <c r="K98" s="6" t="s">
        <v>32</v>
      </c>
      <c r="L98" s="45" t="s">
        <v>311</v>
      </c>
      <c r="M98" s="45" t="s">
        <v>312</v>
      </c>
      <c r="N98" s="6"/>
      <c r="O98" s="6" t="s">
        <v>313</v>
      </c>
      <c r="P98" s="6">
        <v>158</v>
      </c>
      <c r="Q98" s="6">
        <v>57</v>
      </c>
      <c r="R98" s="26">
        <v>67</v>
      </c>
      <c r="S98" s="26">
        <v>8</v>
      </c>
      <c r="T98" s="26">
        <v>9</v>
      </c>
      <c r="U98" s="26"/>
      <c r="V98" s="6"/>
      <c r="W98" s="4">
        <v>19</v>
      </c>
    </row>
    <row r="99" spans="1:23" s="4" customFormat="1" hidden="1">
      <c r="A99" s="17">
        <v>97</v>
      </c>
      <c r="B99" s="27">
        <v>46032</v>
      </c>
      <c r="C99" s="6" t="s">
        <v>314</v>
      </c>
      <c r="D99" s="6"/>
      <c r="E99" s="20" t="s">
        <v>2374</v>
      </c>
      <c r="F99" s="21">
        <v>18061976</v>
      </c>
      <c r="G99" s="21" t="str">
        <f t="shared" si="2"/>
        <v>1976</v>
      </c>
      <c r="H99" s="22">
        <f t="shared" si="3"/>
        <v>50</v>
      </c>
      <c r="I99" s="23"/>
      <c r="J99" s="20" t="s">
        <v>27</v>
      </c>
      <c r="K99" s="6" t="s">
        <v>32</v>
      </c>
      <c r="L99" s="45" t="s">
        <v>315</v>
      </c>
      <c r="M99" s="45" t="s">
        <v>316</v>
      </c>
      <c r="N99" s="6"/>
      <c r="O99" s="6" t="s">
        <v>60</v>
      </c>
      <c r="P99" s="6">
        <v>156</v>
      </c>
      <c r="Q99" s="6">
        <v>61</v>
      </c>
      <c r="R99" s="26">
        <v>63</v>
      </c>
      <c r="S99" s="26">
        <v>7</v>
      </c>
      <c r="T99" s="26">
        <v>8</v>
      </c>
      <c r="U99" s="26"/>
      <c r="V99" s="6"/>
      <c r="W99" s="4">
        <v>20</v>
      </c>
    </row>
    <row r="100" spans="1:23" s="4" customFormat="1" hidden="1">
      <c r="A100" s="20">
        <v>98</v>
      </c>
      <c r="B100" s="27">
        <v>46032</v>
      </c>
      <c r="C100" s="6" t="s">
        <v>317</v>
      </c>
      <c r="D100" s="6"/>
      <c r="E100" s="20" t="s">
        <v>2374</v>
      </c>
      <c r="F100" s="21">
        <v>27041980</v>
      </c>
      <c r="G100" s="21" t="str">
        <f t="shared" si="2"/>
        <v>1980</v>
      </c>
      <c r="H100" s="22">
        <f t="shared" si="3"/>
        <v>46</v>
      </c>
      <c r="I100" s="29"/>
      <c r="J100" s="20" t="s">
        <v>27</v>
      </c>
      <c r="K100" s="6" t="s">
        <v>32</v>
      </c>
      <c r="L100" s="45" t="s">
        <v>318</v>
      </c>
      <c r="M100" s="45" t="s">
        <v>319</v>
      </c>
      <c r="N100" s="6"/>
      <c r="O100" s="6" t="s">
        <v>320</v>
      </c>
      <c r="P100" s="6">
        <v>150</v>
      </c>
      <c r="Q100" s="6">
        <v>44</v>
      </c>
      <c r="R100" s="26">
        <v>72</v>
      </c>
      <c r="S100" s="26">
        <v>9</v>
      </c>
      <c r="T100" s="26" t="s">
        <v>210</v>
      </c>
      <c r="U100" s="26"/>
      <c r="V100" s="6" t="s">
        <v>321</v>
      </c>
      <c r="W100" s="4">
        <v>21</v>
      </c>
    </row>
    <row r="101" spans="1:23" s="4" customFormat="1" hidden="1">
      <c r="A101" s="17">
        <v>99</v>
      </c>
      <c r="B101" s="27">
        <v>46032</v>
      </c>
      <c r="C101" s="6" t="s">
        <v>322</v>
      </c>
      <c r="D101" s="6"/>
      <c r="E101" s="20" t="s">
        <v>40</v>
      </c>
      <c r="F101" s="21">
        <v>1011950</v>
      </c>
      <c r="G101" s="21" t="str">
        <f t="shared" si="2"/>
        <v>1950</v>
      </c>
      <c r="H101" s="22">
        <f t="shared" si="3"/>
        <v>76</v>
      </c>
      <c r="I101" s="29"/>
      <c r="J101" s="20" t="s">
        <v>27</v>
      </c>
      <c r="K101" s="6" t="s">
        <v>32</v>
      </c>
      <c r="L101" s="25"/>
      <c r="M101" s="45" t="s">
        <v>323</v>
      </c>
      <c r="N101" s="6"/>
      <c r="O101" s="6" t="s">
        <v>149</v>
      </c>
      <c r="P101" s="6">
        <v>152</v>
      </c>
      <c r="Q101" s="6">
        <v>50</v>
      </c>
      <c r="R101" s="26">
        <v>80</v>
      </c>
      <c r="S101" s="26">
        <v>5</v>
      </c>
      <c r="T101" s="26">
        <v>2</v>
      </c>
      <c r="U101" s="26"/>
      <c r="V101" s="6" t="s">
        <v>252</v>
      </c>
      <c r="W101" s="4">
        <v>22</v>
      </c>
    </row>
    <row r="102" spans="1:23" s="4" customFormat="1" hidden="1">
      <c r="A102" s="20">
        <v>100</v>
      </c>
      <c r="B102" s="27">
        <v>46032</v>
      </c>
      <c r="C102" s="6" t="s">
        <v>324</v>
      </c>
      <c r="D102" s="6"/>
      <c r="E102" s="20" t="s">
        <v>40</v>
      </c>
      <c r="F102" s="21">
        <v>10011955</v>
      </c>
      <c r="G102" s="21" t="str">
        <f t="shared" si="2"/>
        <v>1955</v>
      </c>
      <c r="H102" s="22">
        <f t="shared" si="3"/>
        <v>71</v>
      </c>
      <c r="I102" s="29"/>
      <c r="J102" s="20" t="s">
        <v>27</v>
      </c>
      <c r="K102" s="6" t="s">
        <v>32</v>
      </c>
      <c r="L102" s="25"/>
      <c r="M102" s="45" t="s">
        <v>325</v>
      </c>
      <c r="N102" s="6"/>
      <c r="O102" s="6" t="s">
        <v>326</v>
      </c>
      <c r="P102" s="6">
        <v>150</v>
      </c>
      <c r="Q102" s="6">
        <v>55</v>
      </c>
      <c r="R102" s="26">
        <v>81</v>
      </c>
      <c r="S102" s="26">
        <v>5</v>
      </c>
      <c r="T102" s="26">
        <v>4</v>
      </c>
      <c r="U102" s="26"/>
      <c r="V102" s="6" t="s">
        <v>252</v>
      </c>
      <c r="W102" s="4">
        <v>23</v>
      </c>
    </row>
    <row r="103" spans="1:23" s="4" customFormat="1" hidden="1">
      <c r="A103" s="17">
        <v>101</v>
      </c>
      <c r="B103" s="27">
        <v>46032</v>
      </c>
      <c r="C103" s="6" t="s">
        <v>327</v>
      </c>
      <c r="D103" s="6"/>
      <c r="E103" s="20" t="s">
        <v>2374</v>
      </c>
      <c r="F103" s="21">
        <v>18061974</v>
      </c>
      <c r="G103" s="21" t="str">
        <f t="shared" si="2"/>
        <v>1974</v>
      </c>
      <c r="H103" s="22">
        <f t="shared" si="3"/>
        <v>52</v>
      </c>
      <c r="I103" s="29" t="s">
        <v>27</v>
      </c>
      <c r="J103" s="20"/>
      <c r="K103" s="6" t="s">
        <v>32</v>
      </c>
      <c r="L103" s="45" t="s">
        <v>328</v>
      </c>
      <c r="M103" s="45" t="s">
        <v>329</v>
      </c>
      <c r="N103" s="6"/>
      <c r="O103" s="6" t="s">
        <v>330</v>
      </c>
      <c r="P103" s="6">
        <v>159</v>
      </c>
      <c r="Q103" s="6">
        <v>49</v>
      </c>
      <c r="R103" s="26">
        <v>84</v>
      </c>
      <c r="S103" s="26">
        <v>8</v>
      </c>
      <c r="T103" s="26">
        <v>8</v>
      </c>
      <c r="U103" s="26"/>
      <c r="V103" s="6"/>
      <c r="W103" s="4">
        <v>24</v>
      </c>
    </row>
    <row r="104" spans="1:23" s="4" customFormat="1" hidden="1">
      <c r="A104" s="20">
        <v>102</v>
      </c>
      <c r="B104" s="27">
        <v>46032</v>
      </c>
      <c r="C104" s="6" t="s">
        <v>230</v>
      </c>
      <c r="D104" s="6"/>
      <c r="E104" s="20" t="s">
        <v>2374</v>
      </c>
      <c r="F104" s="21">
        <v>5061978</v>
      </c>
      <c r="G104" s="21" t="str">
        <f t="shared" si="2"/>
        <v>1978</v>
      </c>
      <c r="H104" s="22">
        <f t="shared" si="3"/>
        <v>48</v>
      </c>
      <c r="I104" s="29" t="s">
        <v>27</v>
      </c>
      <c r="J104" s="20"/>
      <c r="K104" s="6" t="s">
        <v>32</v>
      </c>
      <c r="L104" s="45" t="s">
        <v>331</v>
      </c>
      <c r="M104" s="45" t="s">
        <v>332</v>
      </c>
      <c r="N104" s="6"/>
      <c r="O104" s="6" t="s">
        <v>333</v>
      </c>
      <c r="P104" s="6">
        <v>165</v>
      </c>
      <c r="Q104" s="6">
        <v>52</v>
      </c>
      <c r="R104" s="26"/>
      <c r="S104" s="26">
        <v>8</v>
      </c>
      <c r="T104" s="26">
        <v>8</v>
      </c>
      <c r="U104" s="26"/>
      <c r="V104" s="6" t="s">
        <v>334</v>
      </c>
      <c r="W104" s="4">
        <v>25</v>
      </c>
    </row>
    <row r="105" spans="1:23" s="4" customFormat="1" hidden="1">
      <c r="A105" s="17">
        <v>103</v>
      </c>
      <c r="B105" s="27">
        <v>46032</v>
      </c>
      <c r="C105" s="6" t="s">
        <v>335</v>
      </c>
      <c r="D105" s="6"/>
      <c r="E105" s="20" t="s">
        <v>2374</v>
      </c>
      <c r="F105" s="21">
        <v>10061988</v>
      </c>
      <c r="G105" s="21" t="str">
        <f t="shared" si="2"/>
        <v>1988</v>
      </c>
      <c r="H105" s="22">
        <f t="shared" si="3"/>
        <v>38</v>
      </c>
      <c r="I105" s="29"/>
      <c r="J105" s="20" t="s">
        <v>27</v>
      </c>
      <c r="K105" s="6" t="s">
        <v>32</v>
      </c>
      <c r="L105" s="45" t="s">
        <v>336</v>
      </c>
      <c r="M105" s="45" t="s">
        <v>337</v>
      </c>
      <c r="N105" s="6"/>
      <c r="O105" s="6" t="s">
        <v>338</v>
      </c>
      <c r="P105" s="6">
        <v>150</v>
      </c>
      <c r="Q105" s="6">
        <v>52</v>
      </c>
      <c r="R105" s="26">
        <v>75</v>
      </c>
      <c r="S105" s="26">
        <v>8</v>
      </c>
      <c r="T105" s="26">
        <v>8</v>
      </c>
      <c r="U105" s="26"/>
      <c r="V105" s="6"/>
      <c r="W105" s="4">
        <v>26</v>
      </c>
    </row>
    <row r="106" spans="1:23" s="4" customFormat="1" hidden="1">
      <c r="A106" s="20">
        <v>104</v>
      </c>
      <c r="B106" s="27">
        <v>46032</v>
      </c>
      <c r="C106" s="6" t="s">
        <v>339</v>
      </c>
      <c r="D106" s="6"/>
      <c r="E106" s="20" t="s">
        <v>40</v>
      </c>
      <c r="F106" s="21">
        <v>10011953</v>
      </c>
      <c r="G106" s="21" t="str">
        <f t="shared" si="2"/>
        <v>1953</v>
      </c>
      <c r="H106" s="22">
        <f t="shared" si="3"/>
        <v>73</v>
      </c>
      <c r="I106" s="29"/>
      <c r="J106" s="20" t="s">
        <v>27</v>
      </c>
      <c r="K106" s="6" t="s">
        <v>32</v>
      </c>
      <c r="L106" s="25"/>
      <c r="M106" s="45" t="s">
        <v>340</v>
      </c>
      <c r="N106" s="6"/>
      <c r="O106" s="6" t="s">
        <v>38</v>
      </c>
      <c r="P106" s="6">
        <v>150</v>
      </c>
      <c r="Q106" s="6">
        <v>52</v>
      </c>
      <c r="R106" s="26">
        <v>75</v>
      </c>
      <c r="S106" s="26">
        <v>4</v>
      </c>
      <c r="T106" s="26">
        <v>4</v>
      </c>
      <c r="U106" s="26"/>
      <c r="V106" s="6" t="s">
        <v>334</v>
      </c>
      <c r="W106" s="4">
        <v>27</v>
      </c>
    </row>
    <row r="107" spans="1:23" s="4" customFormat="1" hidden="1">
      <c r="A107" s="17">
        <v>105</v>
      </c>
      <c r="B107" s="27">
        <v>46032</v>
      </c>
      <c r="C107" s="6" t="s">
        <v>341</v>
      </c>
      <c r="D107" s="6"/>
      <c r="E107" s="20" t="s">
        <v>40</v>
      </c>
      <c r="F107" s="21">
        <v>2021950</v>
      </c>
      <c r="G107" s="21" t="str">
        <f t="shared" si="2"/>
        <v>1950</v>
      </c>
      <c r="H107" s="22">
        <f t="shared" si="3"/>
        <v>76</v>
      </c>
      <c r="I107" s="29"/>
      <c r="J107" s="20" t="s">
        <v>27</v>
      </c>
      <c r="K107" s="6" t="s">
        <v>32</v>
      </c>
      <c r="L107" s="25"/>
      <c r="M107" s="45" t="s">
        <v>342</v>
      </c>
      <c r="N107" s="6"/>
      <c r="O107" s="6" t="s">
        <v>143</v>
      </c>
      <c r="P107" s="6">
        <v>148</v>
      </c>
      <c r="Q107" s="6">
        <v>50</v>
      </c>
      <c r="R107" s="26">
        <v>72</v>
      </c>
      <c r="S107" s="26">
        <v>4</v>
      </c>
      <c r="T107" s="26">
        <v>5</v>
      </c>
      <c r="U107" s="26"/>
      <c r="V107" s="6" t="s">
        <v>252</v>
      </c>
      <c r="W107" s="4">
        <v>28</v>
      </c>
    </row>
    <row r="108" spans="1:23" s="4" customFormat="1" hidden="1">
      <c r="A108" s="20">
        <v>106</v>
      </c>
      <c r="B108" s="27">
        <v>46032</v>
      </c>
      <c r="C108" s="6" t="s">
        <v>343</v>
      </c>
      <c r="D108" s="6"/>
      <c r="E108" s="20" t="s">
        <v>2374</v>
      </c>
      <c r="F108" s="21">
        <v>10091990</v>
      </c>
      <c r="G108" s="21" t="str">
        <f t="shared" si="2"/>
        <v>1990</v>
      </c>
      <c r="H108" s="22">
        <f t="shared" si="3"/>
        <v>36</v>
      </c>
      <c r="I108" s="29" t="s">
        <v>27</v>
      </c>
      <c r="J108" s="20"/>
      <c r="K108" s="6" t="s">
        <v>32</v>
      </c>
      <c r="L108" s="25"/>
      <c r="M108" s="45" t="s">
        <v>344</v>
      </c>
      <c r="N108" s="6"/>
      <c r="O108" s="6"/>
      <c r="P108" s="6">
        <v>173</v>
      </c>
      <c r="Q108" s="6">
        <v>70</v>
      </c>
      <c r="R108" s="26"/>
      <c r="S108" s="26">
        <v>10</v>
      </c>
      <c r="T108" s="26" t="s">
        <v>345</v>
      </c>
      <c r="U108" s="26"/>
      <c r="V108" s="6" t="s">
        <v>346</v>
      </c>
      <c r="W108" s="4">
        <v>29</v>
      </c>
    </row>
    <row r="109" spans="1:23" s="4" customFormat="1" hidden="1">
      <c r="A109" s="17">
        <v>107</v>
      </c>
      <c r="B109" s="27">
        <v>46032</v>
      </c>
      <c r="C109" s="6" t="s">
        <v>347</v>
      </c>
      <c r="D109" s="6"/>
      <c r="E109" s="20" t="s">
        <v>2374</v>
      </c>
      <c r="F109" s="21">
        <v>15061993</v>
      </c>
      <c r="G109" s="21" t="str">
        <f t="shared" si="2"/>
        <v>1993</v>
      </c>
      <c r="H109" s="22">
        <f t="shared" si="3"/>
        <v>33</v>
      </c>
      <c r="I109" s="29" t="s">
        <v>27</v>
      </c>
      <c r="J109" s="20"/>
      <c r="K109" s="6" t="s">
        <v>32</v>
      </c>
      <c r="L109" s="25"/>
      <c r="M109" s="45" t="s">
        <v>348</v>
      </c>
      <c r="N109" s="6"/>
      <c r="O109" s="6"/>
      <c r="P109" s="6"/>
      <c r="Q109" s="6"/>
      <c r="R109" s="26"/>
      <c r="S109" s="26">
        <v>10</v>
      </c>
      <c r="T109" s="26">
        <v>10</v>
      </c>
      <c r="U109" s="26"/>
      <c r="V109" s="6"/>
      <c r="W109" s="4">
        <v>30</v>
      </c>
    </row>
    <row r="110" spans="1:23" s="4" customFormat="1" hidden="1">
      <c r="A110" s="20">
        <v>108</v>
      </c>
      <c r="B110" s="27">
        <v>46032</v>
      </c>
      <c r="C110" s="6" t="s">
        <v>349</v>
      </c>
      <c r="D110" s="6"/>
      <c r="E110" s="20" t="s">
        <v>40</v>
      </c>
      <c r="F110" s="21">
        <v>1011964</v>
      </c>
      <c r="G110" s="21" t="str">
        <f t="shared" si="2"/>
        <v>1964</v>
      </c>
      <c r="H110" s="22">
        <f t="shared" si="3"/>
        <v>62</v>
      </c>
      <c r="I110" s="29"/>
      <c r="J110" s="20" t="s">
        <v>27</v>
      </c>
      <c r="K110" s="6" t="s">
        <v>32</v>
      </c>
      <c r="L110" s="25"/>
      <c r="M110" s="45" t="s">
        <v>350</v>
      </c>
      <c r="N110" s="6"/>
      <c r="O110" s="6" t="s">
        <v>34</v>
      </c>
      <c r="P110" s="6">
        <v>155</v>
      </c>
      <c r="Q110" s="6">
        <v>49</v>
      </c>
      <c r="R110" s="26">
        <v>84</v>
      </c>
      <c r="S110" s="26">
        <v>7</v>
      </c>
      <c r="T110" s="26">
        <v>8</v>
      </c>
      <c r="U110" s="26"/>
      <c r="V110" s="6"/>
      <c r="W110" s="4">
        <v>31</v>
      </c>
    </row>
    <row r="111" spans="1:23" s="4" customFormat="1" hidden="1">
      <c r="A111" s="17">
        <v>109</v>
      </c>
      <c r="B111" s="27">
        <v>46032</v>
      </c>
      <c r="C111" s="6" t="s">
        <v>351</v>
      </c>
      <c r="D111" s="6"/>
      <c r="E111" s="20" t="s">
        <v>40</v>
      </c>
      <c r="F111" s="21">
        <v>15101946</v>
      </c>
      <c r="G111" s="21" t="str">
        <f t="shared" si="2"/>
        <v>1946</v>
      </c>
      <c r="H111" s="22">
        <f t="shared" si="3"/>
        <v>80</v>
      </c>
      <c r="I111" s="29"/>
      <c r="J111" s="20" t="s">
        <v>27</v>
      </c>
      <c r="K111" s="6" t="s">
        <v>32</v>
      </c>
      <c r="L111" s="25"/>
      <c r="M111" s="45" t="s">
        <v>352</v>
      </c>
      <c r="N111" s="6"/>
      <c r="O111" s="6" t="s">
        <v>30</v>
      </c>
      <c r="P111" s="6">
        <v>145</v>
      </c>
      <c r="Q111" s="6">
        <v>36</v>
      </c>
      <c r="R111" s="26">
        <v>75</v>
      </c>
      <c r="S111" s="26">
        <v>5</v>
      </c>
      <c r="T111" s="26">
        <v>5</v>
      </c>
      <c r="U111" s="26"/>
      <c r="V111" s="6" t="s">
        <v>353</v>
      </c>
      <c r="W111" s="4">
        <v>32</v>
      </c>
    </row>
    <row r="112" spans="1:23" s="4" customFormat="1" hidden="1">
      <c r="A112" s="20">
        <v>110</v>
      </c>
      <c r="B112" s="27">
        <v>46032</v>
      </c>
      <c r="C112" s="6" t="s">
        <v>354</v>
      </c>
      <c r="D112" s="6"/>
      <c r="E112" s="20" t="s">
        <v>40</v>
      </c>
      <c r="F112" s="21">
        <v>3061956</v>
      </c>
      <c r="G112" s="21" t="str">
        <f t="shared" si="2"/>
        <v>1956</v>
      </c>
      <c r="H112" s="22">
        <f t="shared" si="3"/>
        <v>70</v>
      </c>
      <c r="I112" s="29"/>
      <c r="J112" s="20" t="s">
        <v>27</v>
      </c>
      <c r="K112" s="6" t="s">
        <v>32</v>
      </c>
      <c r="L112" s="25"/>
      <c r="M112" s="45" t="s">
        <v>355</v>
      </c>
      <c r="N112" s="6"/>
      <c r="O112" s="6" t="s">
        <v>356</v>
      </c>
      <c r="P112" s="6">
        <v>145</v>
      </c>
      <c r="Q112" s="6">
        <v>55</v>
      </c>
      <c r="R112" s="26">
        <v>100</v>
      </c>
      <c r="S112" s="26"/>
      <c r="T112" s="26"/>
      <c r="U112" s="26"/>
      <c r="V112" s="6" t="s">
        <v>334</v>
      </c>
      <c r="W112" s="4">
        <v>33</v>
      </c>
    </row>
    <row r="113" spans="1:23" s="4" customFormat="1" hidden="1">
      <c r="A113" s="17">
        <v>111</v>
      </c>
      <c r="B113" s="27">
        <v>46032</v>
      </c>
      <c r="C113" s="6" t="s">
        <v>357</v>
      </c>
      <c r="D113" s="6"/>
      <c r="E113" s="20" t="s">
        <v>2374</v>
      </c>
      <c r="F113" s="21">
        <v>11101988</v>
      </c>
      <c r="G113" s="21" t="str">
        <f t="shared" si="2"/>
        <v>1988</v>
      </c>
      <c r="H113" s="22">
        <f t="shared" si="3"/>
        <v>38</v>
      </c>
      <c r="I113" s="29" t="s">
        <v>27</v>
      </c>
      <c r="J113" s="20"/>
      <c r="K113" s="6" t="s">
        <v>32</v>
      </c>
      <c r="L113" s="25"/>
      <c r="M113" s="45" t="s">
        <v>358</v>
      </c>
      <c r="N113" s="6"/>
      <c r="O113" s="6" t="s">
        <v>87</v>
      </c>
      <c r="P113" s="6">
        <v>160</v>
      </c>
      <c r="Q113" s="6">
        <v>57</v>
      </c>
      <c r="R113" s="26">
        <v>80</v>
      </c>
      <c r="S113" s="30"/>
      <c r="T113" s="30"/>
      <c r="U113" s="26"/>
      <c r="V113" s="6"/>
      <c r="W113" s="4">
        <v>34</v>
      </c>
    </row>
    <row r="114" spans="1:23" s="4" customFormat="1" hidden="1">
      <c r="A114" s="20">
        <v>112</v>
      </c>
      <c r="B114" s="27">
        <v>46032</v>
      </c>
      <c r="C114" s="6" t="s">
        <v>359</v>
      </c>
      <c r="D114" s="6"/>
      <c r="E114" s="20" t="s">
        <v>2374</v>
      </c>
      <c r="F114" s="21">
        <v>5051974</v>
      </c>
      <c r="G114" s="21" t="str">
        <f t="shared" si="2"/>
        <v>1974</v>
      </c>
      <c r="H114" s="22">
        <f t="shared" si="3"/>
        <v>52</v>
      </c>
      <c r="I114" s="29" t="s">
        <v>27</v>
      </c>
      <c r="J114" s="20"/>
      <c r="K114" s="6" t="s">
        <v>32</v>
      </c>
      <c r="L114" s="25"/>
      <c r="M114" s="45" t="s">
        <v>360</v>
      </c>
      <c r="N114" s="6"/>
      <c r="O114" s="6" t="s">
        <v>87</v>
      </c>
      <c r="P114" s="6">
        <v>160</v>
      </c>
      <c r="Q114" s="6">
        <v>70</v>
      </c>
      <c r="R114" s="26">
        <v>80</v>
      </c>
      <c r="S114" s="26"/>
      <c r="T114" s="26"/>
      <c r="U114" s="26"/>
      <c r="V114" s="6"/>
      <c r="W114" s="4">
        <v>35</v>
      </c>
    </row>
    <row r="115" spans="1:23" s="4" customFormat="1" hidden="1">
      <c r="A115" s="17">
        <v>113</v>
      </c>
      <c r="B115" s="27">
        <v>46032</v>
      </c>
      <c r="C115" s="6" t="s">
        <v>361</v>
      </c>
      <c r="D115" s="6"/>
      <c r="E115" s="20" t="s">
        <v>2374</v>
      </c>
      <c r="F115" s="21">
        <v>6121990</v>
      </c>
      <c r="G115" s="21" t="str">
        <f t="shared" si="2"/>
        <v>1990</v>
      </c>
      <c r="H115" s="22">
        <f t="shared" si="3"/>
        <v>36</v>
      </c>
      <c r="I115" s="29"/>
      <c r="J115" s="20" t="s">
        <v>27</v>
      </c>
      <c r="K115" s="6" t="s">
        <v>32</v>
      </c>
      <c r="L115" s="25"/>
      <c r="M115" s="45" t="s">
        <v>362</v>
      </c>
      <c r="N115" s="31"/>
      <c r="O115" s="6" t="s">
        <v>363</v>
      </c>
      <c r="P115" s="6">
        <v>153</v>
      </c>
      <c r="Q115" s="6">
        <v>57</v>
      </c>
      <c r="R115" s="26">
        <v>86</v>
      </c>
      <c r="S115" s="26" t="s">
        <v>364</v>
      </c>
      <c r="T115" s="26"/>
      <c r="U115" s="26"/>
      <c r="V115" s="6"/>
      <c r="W115" s="4">
        <v>36</v>
      </c>
    </row>
    <row r="116" spans="1:23" s="4" customFormat="1" hidden="1">
      <c r="A116" s="20">
        <v>114</v>
      </c>
      <c r="B116" s="27">
        <v>46032</v>
      </c>
      <c r="C116" s="6" t="s">
        <v>365</v>
      </c>
      <c r="D116" s="6"/>
      <c r="E116" s="20" t="s">
        <v>40</v>
      </c>
      <c r="F116" s="21">
        <v>15031945</v>
      </c>
      <c r="G116" s="21" t="str">
        <f t="shared" si="2"/>
        <v>1945</v>
      </c>
      <c r="H116" s="22">
        <f t="shared" si="3"/>
        <v>81</v>
      </c>
      <c r="I116" s="29"/>
      <c r="J116" s="20" t="s">
        <v>27</v>
      </c>
      <c r="K116" s="6" t="s">
        <v>32</v>
      </c>
      <c r="L116" s="25"/>
      <c r="M116" s="45" t="s">
        <v>366</v>
      </c>
      <c r="N116" s="31"/>
      <c r="O116" s="6" t="s">
        <v>367</v>
      </c>
      <c r="P116" s="6">
        <v>145</v>
      </c>
      <c r="Q116" s="6">
        <v>45</v>
      </c>
      <c r="R116" s="26">
        <v>96</v>
      </c>
      <c r="S116" s="26" t="s">
        <v>345</v>
      </c>
      <c r="T116" s="26"/>
      <c r="U116" s="26"/>
      <c r="V116" s="6" t="s">
        <v>334</v>
      </c>
      <c r="W116" s="4">
        <v>37</v>
      </c>
    </row>
    <row r="117" spans="1:23" s="4" customFormat="1" hidden="1">
      <c r="A117" s="17">
        <v>115</v>
      </c>
      <c r="B117" s="27">
        <v>46032</v>
      </c>
      <c r="C117" s="6" t="s">
        <v>368</v>
      </c>
      <c r="D117" s="6"/>
      <c r="E117" s="20" t="s">
        <v>40</v>
      </c>
      <c r="F117" s="21">
        <v>6061946</v>
      </c>
      <c r="G117" s="21" t="str">
        <f t="shared" si="2"/>
        <v>1946</v>
      </c>
      <c r="H117" s="22">
        <f t="shared" si="3"/>
        <v>80</v>
      </c>
      <c r="I117" s="29" t="s">
        <v>27</v>
      </c>
      <c r="J117" s="20"/>
      <c r="K117" s="6" t="s">
        <v>32</v>
      </c>
      <c r="L117" s="25"/>
      <c r="M117" s="45" t="s">
        <v>369</v>
      </c>
      <c r="N117" s="31"/>
      <c r="O117" s="6" t="s">
        <v>370</v>
      </c>
      <c r="P117" s="6">
        <v>167</v>
      </c>
      <c r="Q117" s="6">
        <v>55</v>
      </c>
      <c r="R117" s="26">
        <v>81</v>
      </c>
      <c r="S117" s="26"/>
      <c r="T117" s="26"/>
      <c r="U117" s="26"/>
      <c r="V117" s="6" t="s">
        <v>334</v>
      </c>
      <c r="W117" s="4">
        <v>38</v>
      </c>
    </row>
    <row r="118" spans="1:23" s="4" customFormat="1" hidden="1">
      <c r="A118" s="20">
        <v>116</v>
      </c>
      <c r="B118" s="27">
        <v>46032</v>
      </c>
      <c r="C118" s="6" t="s">
        <v>371</v>
      </c>
      <c r="D118" s="6"/>
      <c r="E118" s="20" t="s">
        <v>40</v>
      </c>
      <c r="F118" s="21">
        <v>5061947</v>
      </c>
      <c r="G118" s="21" t="str">
        <f t="shared" si="2"/>
        <v>1947</v>
      </c>
      <c r="H118" s="22">
        <f t="shared" si="3"/>
        <v>79</v>
      </c>
      <c r="I118" s="29"/>
      <c r="J118" s="20" t="s">
        <v>27</v>
      </c>
      <c r="K118" s="6" t="s">
        <v>32</v>
      </c>
      <c r="L118" s="25"/>
      <c r="M118" s="45" t="s">
        <v>372</v>
      </c>
      <c r="N118" s="31"/>
      <c r="O118" s="6" t="s">
        <v>373</v>
      </c>
      <c r="P118" s="6">
        <v>152</v>
      </c>
      <c r="Q118" s="6">
        <v>45</v>
      </c>
      <c r="R118" s="26">
        <v>90</v>
      </c>
      <c r="S118" s="26"/>
      <c r="T118" s="26"/>
      <c r="U118" s="26"/>
      <c r="V118" s="6" t="s">
        <v>334</v>
      </c>
      <c r="W118" s="4">
        <v>39</v>
      </c>
    </row>
    <row r="119" spans="1:23" s="4" customFormat="1" hidden="1">
      <c r="A119" s="17">
        <v>117</v>
      </c>
      <c r="B119" s="27">
        <v>46032</v>
      </c>
      <c r="C119" s="6" t="s">
        <v>374</v>
      </c>
      <c r="D119" s="6"/>
      <c r="E119" s="20" t="s">
        <v>40</v>
      </c>
      <c r="F119" s="21">
        <v>15011942</v>
      </c>
      <c r="G119" s="21" t="str">
        <f t="shared" si="2"/>
        <v>1942</v>
      </c>
      <c r="H119" s="22">
        <f t="shared" si="3"/>
        <v>84</v>
      </c>
      <c r="I119" s="29"/>
      <c r="J119" s="20" t="s">
        <v>27</v>
      </c>
      <c r="K119" s="6" t="s">
        <v>32</v>
      </c>
      <c r="L119" s="25"/>
      <c r="M119" s="45" t="s">
        <v>375</v>
      </c>
      <c r="N119" s="31"/>
      <c r="O119" s="6" t="s">
        <v>376</v>
      </c>
      <c r="P119" s="6">
        <v>145</v>
      </c>
      <c r="Q119" s="6">
        <v>52</v>
      </c>
      <c r="R119" s="26">
        <v>95</v>
      </c>
      <c r="S119" s="26"/>
      <c r="T119" s="26"/>
      <c r="U119" s="26"/>
      <c r="V119" s="6" t="s">
        <v>377</v>
      </c>
      <c r="W119" s="4">
        <v>40</v>
      </c>
    </row>
    <row r="120" spans="1:23" s="4" customFormat="1" hidden="1">
      <c r="A120" s="20">
        <v>118</v>
      </c>
      <c r="B120" s="27">
        <v>46032</v>
      </c>
      <c r="C120" s="6" t="s">
        <v>378</v>
      </c>
      <c r="D120" s="6"/>
      <c r="E120" s="20" t="s">
        <v>2374</v>
      </c>
      <c r="F120" s="21">
        <v>2031974</v>
      </c>
      <c r="G120" s="21" t="str">
        <f t="shared" si="2"/>
        <v>1974</v>
      </c>
      <c r="H120" s="22">
        <f t="shared" si="3"/>
        <v>52</v>
      </c>
      <c r="I120" s="29"/>
      <c r="J120" s="20" t="s">
        <v>27</v>
      </c>
      <c r="K120" s="6" t="s">
        <v>32</v>
      </c>
      <c r="L120" s="25"/>
      <c r="M120" s="45" t="s">
        <v>379</v>
      </c>
      <c r="N120" s="31"/>
      <c r="O120" s="6" t="s">
        <v>380</v>
      </c>
      <c r="P120" s="6">
        <v>163</v>
      </c>
      <c r="Q120" s="6">
        <v>60</v>
      </c>
      <c r="R120" s="26">
        <v>88</v>
      </c>
      <c r="S120" s="26"/>
      <c r="T120" s="26"/>
      <c r="U120" s="26"/>
      <c r="V120" s="6"/>
      <c r="W120" s="4">
        <v>41</v>
      </c>
    </row>
    <row r="121" spans="1:23" s="4" customFormat="1" hidden="1">
      <c r="A121" s="17">
        <v>119</v>
      </c>
      <c r="B121" s="27">
        <v>46032</v>
      </c>
      <c r="C121" s="6" t="s">
        <v>381</v>
      </c>
      <c r="D121" s="6"/>
      <c r="E121" s="20" t="s">
        <v>40</v>
      </c>
      <c r="F121" s="21">
        <v>15051958</v>
      </c>
      <c r="G121" s="21" t="str">
        <f t="shared" si="2"/>
        <v>1958</v>
      </c>
      <c r="H121" s="22">
        <f t="shared" si="3"/>
        <v>68</v>
      </c>
      <c r="I121" s="29" t="s">
        <v>27</v>
      </c>
      <c r="J121" s="20"/>
      <c r="K121" s="6" t="s">
        <v>32</v>
      </c>
      <c r="L121" s="25"/>
      <c r="M121" s="45" t="s">
        <v>382</v>
      </c>
      <c r="N121" s="31"/>
      <c r="O121" s="6" t="s">
        <v>383</v>
      </c>
      <c r="P121" s="6">
        <v>160</v>
      </c>
      <c r="Q121" s="6">
        <v>57</v>
      </c>
      <c r="R121" s="26">
        <v>88</v>
      </c>
      <c r="S121" s="26"/>
      <c r="T121" s="26"/>
      <c r="U121" s="26"/>
      <c r="V121" s="6" t="s">
        <v>334</v>
      </c>
      <c r="W121" s="4">
        <v>42</v>
      </c>
    </row>
    <row r="122" spans="1:23" s="4" customFormat="1" hidden="1">
      <c r="A122" s="20">
        <v>120</v>
      </c>
      <c r="B122" s="27">
        <v>46032</v>
      </c>
      <c r="C122" s="6" t="s">
        <v>384</v>
      </c>
      <c r="D122" s="6"/>
      <c r="E122" s="20" t="s">
        <v>40</v>
      </c>
      <c r="F122" s="21">
        <v>10051942</v>
      </c>
      <c r="G122" s="21" t="str">
        <f t="shared" si="2"/>
        <v>1942</v>
      </c>
      <c r="H122" s="22">
        <f t="shared" si="3"/>
        <v>84</v>
      </c>
      <c r="I122" s="29"/>
      <c r="J122" s="20" t="s">
        <v>27</v>
      </c>
      <c r="K122" s="6" t="s">
        <v>32</v>
      </c>
      <c r="L122" s="25"/>
      <c r="M122" s="45" t="s">
        <v>385</v>
      </c>
      <c r="N122" s="31"/>
      <c r="O122" s="6" t="s">
        <v>386</v>
      </c>
      <c r="P122" s="6">
        <v>150</v>
      </c>
      <c r="Q122" s="6">
        <v>56</v>
      </c>
      <c r="R122" s="26">
        <v>114</v>
      </c>
      <c r="S122" s="26"/>
      <c r="T122" s="26"/>
      <c r="U122" s="26"/>
      <c r="V122" s="6"/>
      <c r="W122" s="4">
        <v>43</v>
      </c>
    </row>
    <row r="123" spans="1:23" s="4" customFormat="1" hidden="1">
      <c r="A123" s="17">
        <v>121</v>
      </c>
      <c r="B123" s="27">
        <v>46032</v>
      </c>
      <c r="C123" s="6" t="s">
        <v>387</v>
      </c>
      <c r="D123" s="6"/>
      <c r="E123" s="20" t="s">
        <v>40</v>
      </c>
      <c r="F123" s="21">
        <v>10011952</v>
      </c>
      <c r="G123" s="21" t="str">
        <f t="shared" si="2"/>
        <v>1952</v>
      </c>
      <c r="H123" s="22">
        <f t="shared" si="3"/>
        <v>74</v>
      </c>
      <c r="I123" s="29"/>
      <c r="J123" s="20" t="s">
        <v>27</v>
      </c>
      <c r="K123" s="6" t="s">
        <v>32</v>
      </c>
      <c r="L123" s="25"/>
      <c r="M123" s="45" t="s">
        <v>388</v>
      </c>
      <c r="N123" s="31"/>
      <c r="O123" s="6" t="s">
        <v>389</v>
      </c>
      <c r="P123" s="6">
        <v>150</v>
      </c>
      <c r="Q123" s="6">
        <v>50</v>
      </c>
      <c r="R123" s="26">
        <v>69</v>
      </c>
      <c r="S123" s="26"/>
      <c r="T123" s="26"/>
      <c r="U123" s="26"/>
      <c r="V123" s="6" t="s">
        <v>252</v>
      </c>
      <c r="W123" s="4">
        <v>44</v>
      </c>
    </row>
    <row r="124" spans="1:23" s="4" customFormat="1" hidden="1">
      <c r="A124" s="20">
        <v>122</v>
      </c>
      <c r="B124" s="27">
        <v>46032</v>
      </c>
      <c r="C124" s="6" t="s">
        <v>390</v>
      </c>
      <c r="D124" s="6"/>
      <c r="E124" s="20" t="s">
        <v>40</v>
      </c>
      <c r="F124" s="21">
        <v>1101933</v>
      </c>
      <c r="G124" s="21" t="str">
        <f t="shared" si="2"/>
        <v>1933</v>
      </c>
      <c r="H124" s="22">
        <f t="shared" si="3"/>
        <v>93</v>
      </c>
      <c r="I124" s="29" t="s">
        <v>27</v>
      </c>
      <c r="J124" s="20"/>
      <c r="K124" s="6" t="s">
        <v>32</v>
      </c>
      <c r="L124" s="25"/>
      <c r="M124" s="45" t="s">
        <v>391</v>
      </c>
      <c r="N124" s="31"/>
      <c r="O124" s="6" t="s">
        <v>392</v>
      </c>
      <c r="P124" s="6">
        <v>165</v>
      </c>
      <c r="Q124" s="6">
        <v>44</v>
      </c>
      <c r="R124" s="26">
        <v>111</v>
      </c>
      <c r="S124" s="26"/>
      <c r="T124" s="26"/>
      <c r="U124" s="26"/>
      <c r="V124" s="6" t="s">
        <v>334</v>
      </c>
      <c r="W124" s="4">
        <v>45</v>
      </c>
    </row>
    <row r="125" spans="1:23" s="4" customFormat="1" hidden="1">
      <c r="A125" s="17">
        <v>123</v>
      </c>
      <c r="B125" s="27">
        <v>46032</v>
      </c>
      <c r="C125" s="6" t="s">
        <v>393</v>
      </c>
      <c r="D125" s="6"/>
      <c r="E125" s="20" t="s">
        <v>2374</v>
      </c>
      <c r="F125" s="21">
        <v>9041997</v>
      </c>
      <c r="G125" s="21" t="str">
        <f t="shared" si="2"/>
        <v>1997</v>
      </c>
      <c r="H125" s="22">
        <f t="shared" si="3"/>
        <v>29</v>
      </c>
      <c r="I125" s="29"/>
      <c r="J125" s="20" t="s">
        <v>27</v>
      </c>
      <c r="K125" s="6" t="s">
        <v>32</v>
      </c>
      <c r="L125" s="25"/>
      <c r="M125" s="45" t="s">
        <v>394</v>
      </c>
      <c r="N125" s="31"/>
      <c r="O125" s="6" t="s">
        <v>395</v>
      </c>
      <c r="P125" s="6">
        <v>150</v>
      </c>
      <c r="Q125" s="6">
        <v>52</v>
      </c>
      <c r="R125" s="26">
        <v>91</v>
      </c>
      <c r="S125" s="26"/>
      <c r="T125" s="26"/>
      <c r="U125" s="26"/>
      <c r="V125" s="6"/>
      <c r="W125" s="4">
        <v>46</v>
      </c>
    </row>
    <row r="126" spans="1:23" s="4" customFormat="1" hidden="1">
      <c r="A126" s="20">
        <v>124</v>
      </c>
      <c r="B126" s="27">
        <v>46032</v>
      </c>
      <c r="C126" s="6" t="s">
        <v>396</v>
      </c>
      <c r="D126" s="6"/>
      <c r="E126" s="20" t="s">
        <v>2374</v>
      </c>
      <c r="F126" s="21">
        <v>1011975</v>
      </c>
      <c r="G126" s="21" t="str">
        <f t="shared" si="2"/>
        <v>1975</v>
      </c>
      <c r="H126" s="22">
        <f t="shared" si="3"/>
        <v>51</v>
      </c>
      <c r="I126" s="29"/>
      <c r="J126" s="20" t="s">
        <v>27</v>
      </c>
      <c r="K126" s="6"/>
      <c r="L126" s="25"/>
      <c r="M126" s="45" t="s">
        <v>397</v>
      </c>
      <c r="N126" s="6"/>
      <c r="O126" s="6" t="s">
        <v>34</v>
      </c>
      <c r="P126" s="6">
        <v>160</v>
      </c>
      <c r="Q126" s="6">
        <v>60</v>
      </c>
      <c r="R126" s="26">
        <v>80</v>
      </c>
      <c r="S126" s="26"/>
      <c r="T126" s="26"/>
      <c r="U126" s="26"/>
      <c r="V126" s="6"/>
      <c r="W126" s="4">
        <v>47</v>
      </c>
    </row>
    <row r="127" spans="1:23" s="4" customFormat="1" hidden="1">
      <c r="A127" s="17">
        <v>125</v>
      </c>
      <c r="B127" s="27">
        <v>46032</v>
      </c>
      <c r="C127" s="6" t="s">
        <v>398</v>
      </c>
      <c r="D127" s="6"/>
      <c r="E127" s="20" t="s">
        <v>40</v>
      </c>
      <c r="F127" s="21">
        <v>20071964</v>
      </c>
      <c r="G127" s="21" t="str">
        <f t="shared" si="2"/>
        <v>1964</v>
      </c>
      <c r="H127" s="22">
        <f t="shared" si="3"/>
        <v>62</v>
      </c>
      <c r="I127" s="29" t="s">
        <v>27</v>
      </c>
      <c r="J127" s="20"/>
      <c r="K127" s="6" t="s">
        <v>32</v>
      </c>
      <c r="L127" s="25"/>
      <c r="M127" s="45" t="s">
        <v>399</v>
      </c>
      <c r="N127" s="6"/>
      <c r="O127" s="6" t="s">
        <v>400</v>
      </c>
      <c r="P127" s="6">
        <v>160</v>
      </c>
      <c r="Q127" s="6">
        <v>50</v>
      </c>
      <c r="R127" s="26">
        <v>92</v>
      </c>
      <c r="S127" s="26"/>
      <c r="T127" s="26"/>
      <c r="U127" s="26"/>
      <c r="V127" s="6"/>
      <c r="W127" s="4">
        <v>48</v>
      </c>
    </row>
    <row r="128" spans="1:23" s="4" customFormat="1" hidden="1">
      <c r="A128" s="20">
        <v>126</v>
      </c>
      <c r="B128" s="27">
        <v>46032</v>
      </c>
      <c r="C128" s="6" t="s">
        <v>401</v>
      </c>
      <c r="D128" s="6"/>
      <c r="E128" s="20" t="s">
        <v>2374</v>
      </c>
      <c r="F128" s="21">
        <v>1011969</v>
      </c>
      <c r="G128" s="21" t="str">
        <f t="shared" si="2"/>
        <v>1969</v>
      </c>
      <c r="H128" s="22">
        <f t="shared" si="3"/>
        <v>57</v>
      </c>
      <c r="I128" s="29"/>
      <c r="J128" s="20" t="s">
        <v>27</v>
      </c>
      <c r="K128" s="6" t="s">
        <v>32</v>
      </c>
      <c r="L128" s="45" t="s">
        <v>402</v>
      </c>
      <c r="M128" s="45" t="s">
        <v>403</v>
      </c>
      <c r="N128" s="6"/>
      <c r="O128" s="6" t="s">
        <v>87</v>
      </c>
      <c r="P128" s="6">
        <v>160</v>
      </c>
      <c r="Q128" s="6">
        <v>60</v>
      </c>
      <c r="R128" s="26">
        <v>81</v>
      </c>
      <c r="S128" s="26"/>
      <c r="T128" s="26"/>
      <c r="U128" s="26"/>
      <c r="V128" s="6" t="s">
        <v>346</v>
      </c>
      <c r="W128" s="4">
        <v>49</v>
      </c>
    </row>
    <row r="129" spans="1:23" s="4" customFormat="1" hidden="1">
      <c r="A129" s="17">
        <v>127</v>
      </c>
      <c r="B129" s="27">
        <v>46032</v>
      </c>
      <c r="C129" s="6" t="s">
        <v>404</v>
      </c>
      <c r="D129" s="6"/>
      <c r="E129" s="20" t="s">
        <v>2374</v>
      </c>
      <c r="F129" s="21">
        <v>3071967</v>
      </c>
      <c r="G129" s="21" t="str">
        <f t="shared" si="2"/>
        <v>1967</v>
      </c>
      <c r="H129" s="22">
        <f t="shared" si="3"/>
        <v>59</v>
      </c>
      <c r="I129" s="29" t="s">
        <v>27</v>
      </c>
      <c r="J129" s="20"/>
      <c r="K129" s="6" t="s">
        <v>32</v>
      </c>
      <c r="L129" s="45" t="s">
        <v>402</v>
      </c>
      <c r="M129" s="45" t="s">
        <v>405</v>
      </c>
      <c r="N129" s="6"/>
      <c r="O129" s="6" t="s">
        <v>30</v>
      </c>
      <c r="P129" s="6">
        <v>160</v>
      </c>
      <c r="Q129" s="6">
        <v>60</v>
      </c>
      <c r="R129" s="26">
        <v>72</v>
      </c>
      <c r="S129" s="26"/>
      <c r="T129" s="26"/>
      <c r="U129" s="26"/>
      <c r="V129" s="6" t="s">
        <v>406</v>
      </c>
      <c r="W129" s="4">
        <v>50</v>
      </c>
    </row>
    <row r="130" spans="1:23" s="4" customFormat="1" hidden="1">
      <c r="A130" s="20">
        <v>128</v>
      </c>
      <c r="B130" s="27">
        <v>46032</v>
      </c>
      <c r="C130" s="6" t="s">
        <v>407</v>
      </c>
      <c r="D130" s="6"/>
      <c r="E130" s="20" t="s">
        <v>2374</v>
      </c>
      <c r="F130" s="21">
        <v>27111996</v>
      </c>
      <c r="G130" s="21" t="str">
        <f t="shared" si="2"/>
        <v>1996</v>
      </c>
      <c r="H130" s="22">
        <f t="shared" si="3"/>
        <v>30</v>
      </c>
      <c r="I130" s="29" t="s">
        <v>27</v>
      </c>
      <c r="J130" s="20"/>
      <c r="K130" s="6" t="s">
        <v>32</v>
      </c>
      <c r="L130" s="45" t="s">
        <v>408</v>
      </c>
      <c r="M130" s="45" t="s">
        <v>409</v>
      </c>
      <c r="N130" s="6"/>
      <c r="O130" s="6" t="s">
        <v>146</v>
      </c>
      <c r="P130" s="6">
        <v>165</v>
      </c>
      <c r="Q130" s="6">
        <v>60</v>
      </c>
      <c r="R130" s="26">
        <v>72</v>
      </c>
      <c r="S130" s="26"/>
      <c r="T130" s="26"/>
      <c r="U130" s="26"/>
      <c r="V130" s="6"/>
      <c r="W130" s="4">
        <v>51</v>
      </c>
    </row>
    <row r="131" spans="1:23" s="4" customFormat="1" hidden="1">
      <c r="A131" s="17">
        <v>129</v>
      </c>
      <c r="B131" s="27">
        <v>46032</v>
      </c>
      <c r="C131" s="6" t="s">
        <v>410</v>
      </c>
      <c r="D131" s="6"/>
      <c r="E131" s="20" t="s">
        <v>40</v>
      </c>
      <c r="F131" s="21">
        <v>1011952</v>
      </c>
      <c r="G131" s="21" t="str">
        <f t="shared" ref="G131:G187" si="4">RIGHT(F131,4)</f>
        <v>1952</v>
      </c>
      <c r="H131" s="22">
        <f t="shared" ref="H131:H187" si="5">2026-G131</f>
        <v>74</v>
      </c>
      <c r="I131" s="29"/>
      <c r="J131" s="20" t="s">
        <v>27</v>
      </c>
      <c r="K131" s="6" t="s">
        <v>32</v>
      </c>
      <c r="L131" s="25"/>
      <c r="M131" s="45" t="s">
        <v>411</v>
      </c>
      <c r="N131" s="6"/>
      <c r="O131" s="6"/>
      <c r="P131" s="6">
        <v>155</v>
      </c>
      <c r="Q131" s="6">
        <v>50</v>
      </c>
      <c r="R131" s="26"/>
      <c r="S131" s="26"/>
      <c r="T131" s="26"/>
      <c r="U131" s="26"/>
      <c r="V131" s="6"/>
      <c r="W131" s="4">
        <v>52</v>
      </c>
    </row>
    <row r="132" spans="1:23" s="4" customFormat="1" hidden="1">
      <c r="A132" s="20">
        <v>130</v>
      </c>
      <c r="B132" s="27">
        <v>46032</v>
      </c>
      <c r="C132" s="6" t="s">
        <v>412</v>
      </c>
      <c r="D132" s="6"/>
      <c r="E132" s="20" t="s">
        <v>2374</v>
      </c>
      <c r="F132" s="21">
        <v>7041971</v>
      </c>
      <c r="G132" s="21" t="str">
        <f t="shared" si="4"/>
        <v>1971</v>
      </c>
      <c r="H132" s="22">
        <f t="shared" si="5"/>
        <v>55</v>
      </c>
      <c r="I132" s="29"/>
      <c r="J132" s="20" t="s">
        <v>27</v>
      </c>
      <c r="K132" s="6" t="s">
        <v>32</v>
      </c>
      <c r="L132" s="25"/>
      <c r="M132" s="45" t="s">
        <v>413</v>
      </c>
      <c r="N132" s="6"/>
      <c r="O132" s="6" t="s">
        <v>113</v>
      </c>
      <c r="P132" s="6">
        <v>155</v>
      </c>
      <c r="Q132" s="6">
        <v>64</v>
      </c>
      <c r="R132" s="26">
        <v>73</v>
      </c>
      <c r="S132" s="26"/>
      <c r="T132" s="26"/>
      <c r="U132" s="26"/>
      <c r="V132" s="6" t="s">
        <v>414</v>
      </c>
    </row>
    <row r="133" spans="1:23" s="4" customFormat="1" hidden="1">
      <c r="A133" s="17">
        <v>131</v>
      </c>
      <c r="B133" s="27">
        <v>46032</v>
      </c>
      <c r="C133" s="6" t="s">
        <v>415</v>
      </c>
      <c r="D133" s="6"/>
      <c r="E133" s="20" t="s">
        <v>40</v>
      </c>
      <c r="F133" s="21">
        <v>20101962</v>
      </c>
      <c r="G133" s="21" t="str">
        <f t="shared" si="4"/>
        <v>1962</v>
      </c>
      <c r="H133" s="22">
        <f t="shared" si="5"/>
        <v>64</v>
      </c>
      <c r="I133" s="29" t="s">
        <v>27</v>
      </c>
      <c r="J133" s="20"/>
      <c r="K133" s="6" t="s">
        <v>32</v>
      </c>
      <c r="L133" s="45" t="s">
        <v>416</v>
      </c>
      <c r="M133" s="45" t="s">
        <v>417</v>
      </c>
      <c r="N133" s="6"/>
      <c r="O133" s="6" t="s">
        <v>418</v>
      </c>
      <c r="P133" s="6">
        <v>155</v>
      </c>
      <c r="Q133" s="6">
        <v>42</v>
      </c>
      <c r="R133" s="26">
        <v>76</v>
      </c>
      <c r="S133" s="26"/>
      <c r="T133" s="26"/>
      <c r="U133" s="26"/>
      <c r="V133" s="6" t="s">
        <v>419</v>
      </c>
    </row>
    <row r="134" spans="1:23" s="4" customFormat="1" hidden="1">
      <c r="A134" s="20">
        <v>132</v>
      </c>
      <c r="B134" s="27">
        <v>46032</v>
      </c>
      <c r="C134" s="6" t="s">
        <v>420</v>
      </c>
      <c r="D134" s="6"/>
      <c r="E134" s="20" t="s">
        <v>2374</v>
      </c>
      <c r="F134" s="21">
        <v>4051969</v>
      </c>
      <c r="G134" s="21" t="str">
        <f t="shared" si="4"/>
        <v>1969</v>
      </c>
      <c r="H134" s="22">
        <f t="shared" si="5"/>
        <v>57</v>
      </c>
      <c r="I134" s="29" t="s">
        <v>27</v>
      </c>
      <c r="J134" s="20"/>
      <c r="K134" s="6" t="s">
        <v>32</v>
      </c>
      <c r="L134" s="45" t="s">
        <v>421</v>
      </c>
      <c r="M134" s="45" t="s">
        <v>422</v>
      </c>
      <c r="N134" s="6"/>
      <c r="O134" s="6" t="s">
        <v>87</v>
      </c>
      <c r="P134" s="6">
        <v>155</v>
      </c>
      <c r="Q134" s="6">
        <v>50</v>
      </c>
      <c r="R134" s="26">
        <v>76</v>
      </c>
      <c r="S134" s="26"/>
      <c r="T134" s="26"/>
      <c r="U134" s="26"/>
      <c r="V134" s="6"/>
    </row>
    <row r="135" spans="1:23" s="4" customFormat="1" hidden="1">
      <c r="A135" s="17">
        <v>133</v>
      </c>
      <c r="B135" s="27">
        <v>46032</v>
      </c>
      <c r="C135" s="6" t="s">
        <v>423</v>
      </c>
      <c r="D135" s="6"/>
      <c r="E135" s="20" t="s">
        <v>40</v>
      </c>
      <c r="F135" s="21">
        <v>21031963</v>
      </c>
      <c r="G135" s="21" t="str">
        <f t="shared" si="4"/>
        <v>1963</v>
      </c>
      <c r="H135" s="22">
        <f t="shared" si="5"/>
        <v>63</v>
      </c>
      <c r="I135" s="29" t="s">
        <v>27</v>
      </c>
      <c r="J135" s="20"/>
      <c r="K135" s="6" t="s">
        <v>32</v>
      </c>
      <c r="L135" s="45" t="s">
        <v>424</v>
      </c>
      <c r="M135" s="45" t="s">
        <v>425</v>
      </c>
      <c r="N135" s="6"/>
      <c r="O135" s="6" t="s">
        <v>426</v>
      </c>
      <c r="P135" s="6">
        <v>165</v>
      </c>
      <c r="Q135" s="6">
        <v>45</v>
      </c>
      <c r="R135" s="26">
        <v>76</v>
      </c>
      <c r="S135" s="26"/>
      <c r="T135" s="26"/>
      <c r="U135" s="26"/>
      <c r="V135" s="6" t="s">
        <v>334</v>
      </c>
    </row>
    <row r="136" spans="1:23" s="4" customFormat="1" hidden="1">
      <c r="A136" s="20">
        <v>134</v>
      </c>
      <c r="B136" s="27">
        <v>46032</v>
      </c>
      <c r="C136" s="6" t="s">
        <v>427</v>
      </c>
      <c r="D136" s="6"/>
      <c r="E136" s="20" t="s">
        <v>40</v>
      </c>
      <c r="F136" s="21">
        <v>2051963</v>
      </c>
      <c r="G136" s="21" t="str">
        <f t="shared" si="4"/>
        <v>1963</v>
      </c>
      <c r="H136" s="22">
        <f t="shared" si="5"/>
        <v>63</v>
      </c>
      <c r="I136" s="29"/>
      <c r="J136" s="20" t="s">
        <v>27</v>
      </c>
      <c r="K136" s="6" t="s">
        <v>32</v>
      </c>
      <c r="L136" s="45" t="s">
        <v>428</v>
      </c>
      <c r="M136" s="45" t="s">
        <v>429</v>
      </c>
      <c r="N136" s="6"/>
      <c r="O136" s="6" t="s">
        <v>430</v>
      </c>
      <c r="P136" s="6">
        <v>150</v>
      </c>
      <c r="Q136" s="6">
        <v>46</v>
      </c>
      <c r="R136" s="26">
        <v>69</v>
      </c>
      <c r="S136" s="26"/>
      <c r="T136" s="26"/>
      <c r="U136" s="26"/>
      <c r="V136" s="6" t="s">
        <v>334</v>
      </c>
    </row>
    <row r="137" spans="1:23" s="4" customFormat="1" hidden="1">
      <c r="A137" s="17">
        <v>135</v>
      </c>
      <c r="B137" s="27">
        <v>46032</v>
      </c>
      <c r="C137" s="6" t="s">
        <v>431</v>
      </c>
      <c r="D137" s="6"/>
      <c r="E137" s="20" t="s">
        <v>40</v>
      </c>
      <c r="F137" s="21">
        <v>15051963</v>
      </c>
      <c r="G137" s="21" t="str">
        <f t="shared" si="4"/>
        <v>1963</v>
      </c>
      <c r="H137" s="22">
        <f t="shared" si="5"/>
        <v>63</v>
      </c>
      <c r="I137" s="29" t="s">
        <v>27</v>
      </c>
      <c r="J137" s="20"/>
      <c r="K137" s="6" t="s">
        <v>32</v>
      </c>
      <c r="L137" s="45" t="s">
        <v>432</v>
      </c>
      <c r="M137" s="45" t="s">
        <v>433</v>
      </c>
      <c r="N137" s="6"/>
      <c r="O137" s="6" t="s">
        <v>284</v>
      </c>
      <c r="P137" s="6">
        <v>165</v>
      </c>
      <c r="Q137" s="6">
        <v>61</v>
      </c>
      <c r="R137" s="26">
        <v>105</v>
      </c>
      <c r="S137" s="26"/>
      <c r="T137" s="26"/>
      <c r="U137" s="26"/>
      <c r="V137" s="6" t="s">
        <v>334</v>
      </c>
    </row>
    <row r="138" spans="1:23" s="4" customFormat="1" hidden="1">
      <c r="A138" s="17">
        <v>136</v>
      </c>
      <c r="B138" s="27">
        <v>46032</v>
      </c>
      <c r="C138" s="6" t="s">
        <v>434</v>
      </c>
      <c r="D138" s="6"/>
      <c r="E138" s="20" t="s">
        <v>40</v>
      </c>
      <c r="F138" s="21">
        <v>5051958</v>
      </c>
      <c r="G138" s="21" t="str">
        <f t="shared" si="4"/>
        <v>1958</v>
      </c>
      <c r="H138" s="22">
        <f t="shared" si="5"/>
        <v>68</v>
      </c>
      <c r="I138" s="29"/>
      <c r="J138" s="20" t="s">
        <v>27</v>
      </c>
      <c r="K138" s="6" t="s">
        <v>32</v>
      </c>
      <c r="L138" s="45" t="s">
        <v>435</v>
      </c>
      <c r="M138" s="45" t="s">
        <v>436</v>
      </c>
      <c r="N138" s="6"/>
      <c r="O138" s="6" t="s">
        <v>437</v>
      </c>
      <c r="P138" s="6">
        <v>145</v>
      </c>
      <c r="Q138" s="6">
        <v>39</v>
      </c>
      <c r="R138" s="26">
        <v>91</v>
      </c>
      <c r="S138" s="26"/>
      <c r="T138" s="26"/>
      <c r="U138" s="26"/>
      <c r="V138" s="6"/>
    </row>
    <row r="139" spans="1:23" s="4" customFormat="1" hidden="1">
      <c r="A139" s="20">
        <v>137</v>
      </c>
      <c r="B139" s="27">
        <v>46032</v>
      </c>
      <c r="C139" s="6" t="s">
        <v>438</v>
      </c>
      <c r="D139" s="6"/>
      <c r="E139" s="20" t="s">
        <v>2374</v>
      </c>
      <c r="F139" s="21">
        <v>12121984</v>
      </c>
      <c r="G139" s="21" t="str">
        <f t="shared" si="4"/>
        <v>1984</v>
      </c>
      <c r="H139" s="22">
        <f t="shared" si="5"/>
        <v>42</v>
      </c>
      <c r="I139" s="29"/>
      <c r="J139" s="20" t="s">
        <v>27</v>
      </c>
      <c r="K139" s="6" t="s">
        <v>32</v>
      </c>
      <c r="L139" s="45" t="s">
        <v>439</v>
      </c>
      <c r="M139" s="45" t="s">
        <v>440</v>
      </c>
      <c r="N139" s="6"/>
      <c r="O139" s="6" t="s">
        <v>441</v>
      </c>
      <c r="P139" s="6">
        <v>150</v>
      </c>
      <c r="Q139" s="6">
        <v>50</v>
      </c>
      <c r="R139" s="26">
        <v>82</v>
      </c>
      <c r="S139" s="26"/>
      <c r="T139" s="26"/>
      <c r="U139" s="26"/>
      <c r="V139" s="6"/>
    </row>
    <row r="140" spans="1:23" s="4" customFormat="1" hidden="1">
      <c r="A140" s="17">
        <v>138</v>
      </c>
      <c r="B140" s="27">
        <v>46032</v>
      </c>
      <c r="C140" s="6" t="s">
        <v>442</v>
      </c>
      <c r="D140" s="6"/>
      <c r="E140" s="20" t="s">
        <v>2374</v>
      </c>
      <c r="F140" s="21">
        <v>12091973</v>
      </c>
      <c r="G140" s="21" t="str">
        <f t="shared" si="4"/>
        <v>1973</v>
      </c>
      <c r="H140" s="22">
        <f t="shared" si="5"/>
        <v>53</v>
      </c>
      <c r="I140" s="29"/>
      <c r="J140" s="20" t="s">
        <v>27</v>
      </c>
      <c r="K140" s="6" t="s">
        <v>32</v>
      </c>
      <c r="L140" s="45" t="s">
        <v>443</v>
      </c>
      <c r="M140" s="45" t="s">
        <v>444</v>
      </c>
      <c r="N140" s="6"/>
      <c r="O140" s="6" t="s">
        <v>113</v>
      </c>
      <c r="P140" s="6">
        <v>158</v>
      </c>
      <c r="Q140" s="6">
        <v>52</v>
      </c>
      <c r="R140" s="26">
        <v>75</v>
      </c>
      <c r="S140" s="26"/>
      <c r="T140" s="26"/>
      <c r="U140" s="26"/>
      <c r="V140" s="6"/>
    </row>
    <row r="141" spans="1:23" s="4" customFormat="1" hidden="1">
      <c r="A141" s="20">
        <v>139</v>
      </c>
      <c r="B141" s="27">
        <v>46032</v>
      </c>
      <c r="C141" s="6" t="s">
        <v>445</v>
      </c>
      <c r="D141" s="6"/>
      <c r="E141" s="20" t="s">
        <v>40</v>
      </c>
      <c r="F141" s="21">
        <v>3021964</v>
      </c>
      <c r="G141" s="21" t="str">
        <f t="shared" si="4"/>
        <v>1964</v>
      </c>
      <c r="H141" s="22">
        <f t="shared" si="5"/>
        <v>62</v>
      </c>
      <c r="I141" s="29"/>
      <c r="J141" s="20" t="s">
        <v>27</v>
      </c>
      <c r="K141" s="6" t="s">
        <v>32</v>
      </c>
      <c r="L141" s="25"/>
      <c r="M141" s="45" t="s">
        <v>446</v>
      </c>
      <c r="N141" s="6"/>
      <c r="O141" s="6" t="s">
        <v>136</v>
      </c>
      <c r="P141" s="6">
        <v>165</v>
      </c>
      <c r="Q141" s="6">
        <v>45</v>
      </c>
      <c r="R141" s="26">
        <v>72</v>
      </c>
      <c r="S141" s="26"/>
      <c r="T141" s="26"/>
      <c r="U141" s="26"/>
      <c r="V141" s="6"/>
    </row>
    <row r="142" spans="1:23" s="4" customFormat="1" hidden="1">
      <c r="A142" s="17">
        <v>140</v>
      </c>
      <c r="B142" s="27">
        <v>46032</v>
      </c>
      <c r="C142" s="6" t="s">
        <v>447</v>
      </c>
      <c r="D142" s="6"/>
      <c r="E142" s="20" t="s">
        <v>2374</v>
      </c>
      <c r="F142" s="21">
        <v>5031967</v>
      </c>
      <c r="G142" s="21" t="str">
        <f t="shared" si="4"/>
        <v>1967</v>
      </c>
      <c r="H142" s="22">
        <f t="shared" si="5"/>
        <v>59</v>
      </c>
      <c r="I142" s="29" t="s">
        <v>27</v>
      </c>
      <c r="J142" s="20"/>
      <c r="K142" s="6" t="s">
        <v>32</v>
      </c>
      <c r="L142" s="25"/>
      <c r="M142" s="45" t="s">
        <v>448</v>
      </c>
      <c r="N142" s="6"/>
      <c r="O142" s="6" t="s">
        <v>284</v>
      </c>
      <c r="P142" s="6">
        <v>169</v>
      </c>
      <c r="Q142" s="6">
        <v>64</v>
      </c>
      <c r="R142" s="26">
        <v>78</v>
      </c>
      <c r="S142" s="26"/>
      <c r="T142" s="26"/>
      <c r="U142" s="26"/>
      <c r="V142" s="6" t="s">
        <v>252</v>
      </c>
    </row>
    <row r="143" spans="1:23" s="4" customFormat="1" hidden="1">
      <c r="A143" s="20">
        <v>141</v>
      </c>
      <c r="B143" s="27">
        <v>46032</v>
      </c>
      <c r="C143" s="6" t="s">
        <v>449</v>
      </c>
      <c r="D143" s="6"/>
      <c r="E143" s="20" t="s">
        <v>2374</v>
      </c>
      <c r="F143" s="21">
        <v>1021973</v>
      </c>
      <c r="G143" s="21" t="str">
        <f t="shared" si="4"/>
        <v>1973</v>
      </c>
      <c r="H143" s="22">
        <f t="shared" si="5"/>
        <v>53</v>
      </c>
      <c r="I143" s="29"/>
      <c r="J143" s="20" t="s">
        <v>27</v>
      </c>
      <c r="K143" s="6" t="s">
        <v>32</v>
      </c>
      <c r="L143" s="45" t="s">
        <v>450</v>
      </c>
      <c r="M143" s="45" t="s">
        <v>451</v>
      </c>
      <c r="N143" s="6"/>
      <c r="O143" s="6" t="s">
        <v>30</v>
      </c>
      <c r="P143" s="6">
        <v>152</v>
      </c>
      <c r="Q143" s="6">
        <v>55</v>
      </c>
      <c r="R143" s="26">
        <v>75</v>
      </c>
      <c r="S143" s="26"/>
      <c r="T143" s="26"/>
      <c r="U143" s="26"/>
      <c r="V143" s="6"/>
    </row>
    <row r="144" spans="1:23" s="4" customFormat="1" hidden="1">
      <c r="A144" s="17">
        <v>142</v>
      </c>
      <c r="B144" s="27">
        <v>46032</v>
      </c>
      <c r="C144" s="6" t="s">
        <v>452</v>
      </c>
      <c r="D144" s="6"/>
      <c r="E144" s="20" t="s">
        <v>40</v>
      </c>
      <c r="F144" s="21">
        <v>11011958</v>
      </c>
      <c r="G144" s="21" t="str">
        <f t="shared" si="4"/>
        <v>1958</v>
      </c>
      <c r="H144" s="22">
        <f t="shared" si="5"/>
        <v>68</v>
      </c>
      <c r="I144" s="29" t="s">
        <v>27</v>
      </c>
      <c r="J144" s="20"/>
      <c r="K144" s="6" t="s">
        <v>32</v>
      </c>
      <c r="L144" s="45" t="s">
        <v>453</v>
      </c>
      <c r="M144" s="45" t="s">
        <v>454</v>
      </c>
      <c r="N144" s="6"/>
      <c r="O144" s="6" t="s">
        <v>30</v>
      </c>
      <c r="P144" s="6">
        <v>162</v>
      </c>
      <c r="Q144" s="6">
        <v>51</v>
      </c>
      <c r="R144" s="26">
        <v>72</v>
      </c>
      <c r="S144" s="26"/>
      <c r="T144" s="26"/>
      <c r="U144" s="26"/>
      <c r="V144" s="6"/>
    </row>
    <row r="145" spans="1:22" s="4" customFormat="1" hidden="1">
      <c r="A145" s="20">
        <v>143</v>
      </c>
      <c r="B145" s="27">
        <v>46032</v>
      </c>
      <c r="C145" s="6" t="s">
        <v>455</v>
      </c>
      <c r="D145" s="6"/>
      <c r="E145" s="20" t="s">
        <v>2374</v>
      </c>
      <c r="F145" s="21">
        <v>1011968</v>
      </c>
      <c r="G145" s="21" t="str">
        <f t="shared" si="4"/>
        <v>1968</v>
      </c>
      <c r="H145" s="22">
        <f t="shared" si="5"/>
        <v>58</v>
      </c>
      <c r="I145" s="29" t="s">
        <v>27</v>
      </c>
      <c r="J145" s="20"/>
      <c r="K145" s="6" t="s">
        <v>32</v>
      </c>
      <c r="L145" s="25"/>
      <c r="M145" s="45" t="s">
        <v>456</v>
      </c>
      <c r="N145" s="6"/>
      <c r="O145" s="6" t="s">
        <v>87</v>
      </c>
      <c r="P145" s="6">
        <v>160</v>
      </c>
      <c r="Q145" s="6">
        <v>60</v>
      </c>
      <c r="R145" s="26">
        <v>78</v>
      </c>
      <c r="S145" s="26"/>
      <c r="T145" s="26"/>
      <c r="U145" s="26"/>
      <c r="V145" s="6"/>
    </row>
    <row r="146" spans="1:22" s="4" customFormat="1" hidden="1">
      <c r="A146" s="17">
        <v>144</v>
      </c>
      <c r="B146" s="27">
        <v>46032</v>
      </c>
      <c r="C146" s="6" t="s">
        <v>457</v>
      </c>
      <c r="D146" s="6"/>
      <c r="E146" s="20" t="s">
        <v>2374</v>
      </c>
      <c r="F146" s="21">
        <v>10031975</v>
      </c>
      <c r="G146" s="21" t="str">
        <f t="shared" si="4"/>
        <v>1975</v>
      </c>
      <c r="H146" s="22">
        <f t="shared" si="5"/>
        <v>51</v>
      </c>
      <c r="I146" s="29"/>
      <c r="J146" s="20" t="s">
        <v>27</v>
      </c>
      <c r="K146" s="6" t="s">
        <v>32</v>
      </c>
      <c r="L146" s="25"/>
      <c r="M146" s="45" t="s">
        <v>458</v>
      </c>
      <c r="N146" s="6"/>
      <c r="O146" s="6" t="s">
        <v>113</v>
      </c>
      <c r="P146" s="6">
        <v>152</v>
      </c>
      <c r="Q146" s="6">
        <v>57</v>
      </c>
      <c r="R146" s="26">
        <v>72</v>
      </c>
      <c r="S146" s="26"/>
      <c r="T146" s="26"/>
      <c r="U146" s="26"/>
      <c r="V146" s="6"/>
    </row>
    <row r="147" spans="1:22" s="4" customFormat="1" hidden="1">
      <c r="A147" s="20">
        <v>145</v>
      </c>
      <c r="B147" s="27">
        <v>46032</v>
      </c>
      <c r="C147" s="6" t="s">
        <v>459</v>
      </c>
      <c r="D147" s="6"/>
      <c r="E147" s="20" t="s">
        <v>40</v>
      </c>
      <c r="F147" s="21">
        <v>3031938</v>
      </c>
      <c r="G147" s="21" t="str">
        <f t="shared" si="4"/>
        <v>1938</v>
      </c>
      <c r="H147" s="22">
        <f t="shared" si="5"/>
        <v>88</v>
      </c>
      <c r="I147" s="29"/>
      <c r="J147" s="20" t="s">
        <v>27</v>
      </c>
      <c r="K147" s="6" t="s">
        <v>32</v>
      </c>
      <c r="L147" s="45" t="s">
        <v>424</v>
      </c>
      <c r="M147" s="45" t="s">
        <v>460</v>
      </c>
      <c r="N147" s="6"/>
      <c r="O147" s="6" t="s">
        <v>60</v>
      </c>
      <c r="P147" s="6">
        <v>142</v>
      </c>
      <c r="Q147" s="6">
        <v>35</v>
      </c>
      <c r="R147" s="26">
        <v>75</v>
      </c>
      <c r="S147" s="26"/>
      <c r="T147" s="26"/>
      <c r="U147" s="26"/>
      <c r="V147" s="6" t="s">
        <v>334</v>
      </c>
    </row>
    <row r="148" spans="1:22" s="4" customFormat="1" hidden="1">
      <c r="A148" s="17">
        <v>146</v>
      </c>
      <c r="B148" s="27">
        <v>46032</v>
      </c>
      <c r="C148" s="6" t="s">
        <v>131</v>
      </c>
      <c r="D148" s="6"/>
      <c r="E148" s="20" t="s">
        <v>40</v>
      </c>
      <c r="F148" s="21">
        <v>6061966</v>
      </c>
      <c r="G148" s="21" t="str">
        <f t="shared" si="4"/>
        <v>1966</v>
      </c>
      <c r="H148" s="22">
        <f t="shared" si="5"/>
        <v>60</v>
      </c>
      <c r="I148" s="29"/>
      <c r="J148" s="20" t="s">
        <v>27</v>
      </c>
      <c r="K148" s="6" t="s">
        <v>115</v>
      </c>
      <c r="L148" s="45" t="s">
        <v>461</v>
      </c>
      <c r="M148" s="45" t="s">
        <v>462</v>
      </c>
      <c r="N148" s="6"/>
      <c r="O148" s="6" t="s">
        <v>463</v>
      </c>
      <c r="P148" s="6">
        <v>152</v>
      </c>
      <c r="Q148" s="6">
        <v>67</v>
      </c>
      <c r="R148" s="26">
        <v>87</v>
      </c>
      <c r="S148" s="26"/>
      <c r="T148" s="26"/>
      <c r="U148" s="26"/>
      <c r="V148" s="6"/>
    </row>
    <row r="149" spans="1:22" s="4" customFormat="1" hidden="1">
      <c r="A149" s="20">
        <v>147</v>
      </c>
      <c r="B149" s="27">
        <v>46032</v>
      </c>
      <c r="C149" s="6" t="s">
        <v>464</v>
      </c>
      <c r="D149" s="6"/>
      <c r="E149" s="20" t="s">
        <v>40</v>
      </c>
      <c r="F149" s="21">
        <v>20011963</v>
      </c>
      <c r="G149" s="21" t="str">
        <f t="shared" si="4"/>
        <v>1963</v>
      </c>
      <c r="H149" s="22">
        <f t="shared" si="5"/>
        <v>63</v>
      </c>
      <c r="I149" s="29"/>
      <c r="J149" s="20" t="s">
        <v>27</v>
      </c>
      <c r="K149" s="6" t="s">
        <v>115</v>
      </c>
      <c r="L149" s="25"/>
      <c r="M149" s="45" t="s">
        <v>465</v>
      </c>
      <c r="N149" s="6"/>
      <c r="O149" s="6" t="s">
        <v>60</v>
      </c>
      <c r="P149" s="6">
        <v>153</v>
      </c>
      <c r="Q149" s="6">
        <v>53</v>
      </c>
      <c r="R149" s="26">
        <v>75</v>
      </c>
      <c r="S149" s="26"/>
      <c r="T149" s="26"/>
      <c r="U149" s="26"/>
      <c r="V149" s="6"/>
    </row>
    <row r="150" spans="1:22" s="4" customFormat="1" hidden="1">
      <c r="A150" s="17">
        <v>148</v>
      </c>
      <c r="B150" s="27">
        <v>46032</v>
      </c>
      <c r="C150" s="6" t="s">
        <v>466</v>
      </c>
      <c r="D150" s="6"/>
      <c r="E150" s="20" t="s">
        <v>40</v>
      </c>
      <c r="F150" s="21">
        <v>5051952</v>
      </c>
      <c r="G150" s="21" t="str">
        <f t="shared" si="4"/>
        <v>1952</v>
      </c>
      <c r="H150" s="22">
        <f t="shared" si="5"/>
        <v>74</v>
      </c>
      <c r="I150" s="29" t="s">
        <v>27</v>
      </c>
      <c r="J150" s="20"/>
      <c r="K150" s="6" t="s">
        <v>115</v>
      </c>
      <c r="L150" s="25"/>
      <c r="M150" s="45" t="s">
        <v>467</v>
      </c>
      <c r="N150" s="6"/>
      <c r="O150" s="6" t="s">
        <v>60</v>
      </c>
      <c r="P150" s="6">
        <v>160</v>
      </c>
      <c r="Q150" s="6">
        <v>50</v>
      </c>
      <c r="R150" s="26">
        <v>81</v>
      </c>
      <c r="S150" s="26"/>
      <c r="T150" s="26"/>
      <c r="U150" s="26"/>
      <c r="V150" s="6"/>
    </row>
    <row r="151" spans="1:22" s="4" customFormat="1" hidden="1">
      <c r="A151" s="20">
        <v>149</v>
      </c>
      <c r="B151" s="27">
        <v>46032</v>
      </c>
      <c r="C151" s="6" t="s">
        <v>468</v>
      </c>
      <c r="D151" s="6"/>
      <c r="E151" s="20" t="s">
        <v>40</v>
      </c>
      <c r="F151" s="21">
        <v>15041932</v>
      </c>
      <c r="G151" s="21" t="str">
        <f t="shared" si="4"/>
        <v>1932</v>
      </c>
      <c r="H151" s="22">
        <f t="shared" si="5"/>
        <v>94</v>
      </c>
      <c r="I151" s="29" t="s">
        <v>27</v>
      </c>
      <c r="J151" s="20"/>
      <c r="K151" s="6" t="s">
        <v>115</v>
      </c>
      <c r="L151" s="25"/>
      <c r="M151" s="45" t="s">
        <v>469</v>
      </c>
      <c r="N151" s="6"/>
      <c r="O151" s="6" t="s">
        <v>470</v>
      </c>
      <c r="P151" s="6">
        <v>150</v>
      </c>
      <c r="Q151" s="6">
        <v>50</v>
      </c>
      <c r="R151" s="26">
        <v>91</v>
      </c>
      <c r="S151" s="26"/>
      <c r="T151" s="26"/>
      <c r="U151" s="26"/>
      <c r="V151" s="6" t="s">
        <v>471</v>
      </c>
    </row>
    <row r="152" spans="1:22" s="4" customFormat="1" hidden="1">
      <c r="A152" s="17">
        <v>150</v>
      </c>
      <c r="B152" s="27">
        <v>46032</v>
      </c>
      <c r="C152" s="6" t="s">
        <v>472</v>
      </c>
      <c r="D152" s="6"/>
      <c r="E152" s="20" t="s">
        <v>2374</v>
      </c>
      <c r="F152" s="21">
        <v>1011970</v>
      </c>
      <c r="G152" s="21" t="str">
        <f t="shared" si="4"/>
        <v>1970</v>
      </c>
      <c r="H152" s="22">
        <f t="shared" si="5"/>
        <v>56</v>
      </c>
      <c r="I152" s="29" t="s">
        <v>27</v>
      </c>
      <c r="J152" s="20"/>
      <c r="K152" s="6" t="s">
        <v>115</v>
      </c>
      <c r="L152" s="25"/>
      <c r="M152" s="45" t="s">
        <v>473</v>
      </c>
      <c r="N152" s="6"/>
      <c r="O152" s="6" t="s">
        <v>38</v>
      </c>
      <c r="P152" s="6">
        <v>162</v>
      </c>
      <c r="Q152" s="6">
        <v>55</v>
      </c>
      <c r="R152" s="26">
        <v>75</v>
      </c>
      <c r="S152" s="26"/>
      <c r="T152" s="26"/>
      <c r="U152" s="26"/>
      <c r="V152" s="6"/>
    </row>
    <row r="153" spans="1:22" s="4" customFormat="1" hidden="1">
      <c r="A153" s="20">
        <v>151</v>
      </c>
      <c r="B153" s="27">
        <v>46032</v>
      </c>
      <c r="C153" s="6" t="s">
        <v>474</v>
      </c>
      <c r="D153" s="6"/>
      <c r="E153" s="20" t="s">
        <v>40</v>
      </c>
      <c r="F153" s="21">
        <v>2041956</v>
      </c>
      <c r="G153" s="21" t="str">
        <f t="shared" si="4"/>
        <v>1956</v>
      </c>
      <c r="H153" s="22">
        <f t="shared" si="5"/>
        <v>70</v>
      </c>
      <c r="I153" s="29"/>
      <c r="J153" s="20" t="s">
        <v>27</v>
      </c>
      <c r="K153" s="6" t="s">
        <v>28</v>
      </c>
      <c r="L153" s="25"/>
      <c r="M153" s="45" t="s">
        <v>475</v>
      </c>
      <c r="N153" s="6"/>
      <c r="O153" s="6" t="s">
        <v>87</v>
      </c>
      <c r="P153" s="6">
        <v>147</v>
      </c>
      <c r="Q153" s="6">
        <v>52</v>
      </c>
      <c r="R153" s="26">
        <v>70</v>
      </c>
      <c r="S153" s="26">
        <v>5</v>
      </c>
      <c r="T153" s="26">
        <v>5</v>
      </c>
      <c r="U153" s="26"/>
      <c r="V153" s="6"/>
    </row>
    <row r="154" spans="1:22" s="4" customFormat="1" hidden="1">
      <c r="A154" s="17">
        <v>152</v>
      </c>
      <c r="B154" s="27">
        <v>46032</v>
      </c>
      <c r="C154" s="6" t="s">
        <v>476</v>
      </c>
      <c r="D154" s="6"/>
      <c r="E154" s="20" t="s">
        <v>40</v>
      </c>
      <c r="F154" s="21">
        <v>20031954</v>
      </c>
      <c r="G154" s="21" t="str">
        <f t="shared" si="4"/>
        <v>1954</v>
      </c>
      <c r="H154" s="22">
        <f t="shared" si="5"/>
        <v>72</v>
      </c>
      <c r="I154" s="29"/>
      <c r="J154" s="20" t="s">
        <v>27</v>
      </c>
      <c r="K154" s="6" t="s">
        <v>28</v>
      </c>
      <c r="L154" s="45" t="s">
        <v>477</v>
      </c>
      <c r="M154" s="45" t="s">
        <v>478</v>
      </c>
      <c r="N154" s="6"/>
      <c r="O154" s="6" t="s">
        <v>87</v>
      </c>
      <c r="P154" s="6">
        <v>160</v>
      </c>
      <c r="Q154" s="6">
        <v>57</v>
      </c>
      <c r="R154" s="26">
        <v>76</v>
      </c>
      <c r="S154" s="26">
        <v>3</v>
      </c>
      <c r="T154" s="26">
        <v>4</v>
      </c>
      <c r="U154" s="26"/>
      <c r="V154" s="6" t="s">
        <v>252</v>
      </c>
    </row>
    <row r="155" spans="1:22" s="4" customFormat="1" hidden="1">
      <c r="A155" s="20">
        <v>153</v>
      </c>
      <c r="B155" s="27">
        <v>46032</v>
      </c>
      <c r="C155" s="6" t="s">
        <v>479</v>
      </c>
      <c r="D155" s="6"/>
      <c r="E155" s="20" t="s">
        <v>40</v>
      </c>
      <c r="F155" s="21">
        <v>3051954</v>
      </c>
      <c r="G155" s="21" t="str">
        <f t="shared" si="4"/>
        <v>1954</v>
      </c>
      <c r="H155" s="22">
        <f t="shared" si="5"/>
        <v>72</v>
      </c>
      <c r="I155" s="29"/>
      <c r="J155" s="20" t="s">
        <v>27</v>
      </c>
      <c r="K155" s="6" t="s">
        <v>28</v>
      </c>
      <c r="L155" s="45" t="s">
        <v>480</v>
      </c>
      <c r="M155" s="45" t="s">
        <v>481</v>
      </c>
      <c r="N155" s="6"/>
      <c r="O155" s="6" t="s">
        <v>34</v>
      </c>
      <c r="P155" s="6">
        <v>146</v>
      </c>
      <c r="Q155" s="6">
        <v>41</v>
      </c>
      <c r="R155" s="26">
        <v>76</v>
      </c>
      <c r="S155" s="26">
        <v>2</v>
      </c>
      <c r="T155" s="26">
        <v>5</v>
      </c>
      <c r="U155" s="26"/>
      <c r="V155" s="6"/>
    </row>
    <row r="156" spans="1:22" s="4" customFormat="1" hidden="1">
      <c r="A156" s="17">
        <v>154</v>
      </c>
      <c r="B156" s="27">
        <v>46032</v>
      </c>
      <c r="C156" s="6" t="s">
        <v>482</v>
      </c>
      <c r="D156" s="6"/>
      <c r="E156" s="20" t="s">
        <v>40</v>
      </c>
      <c r="F156" s="21">
        <v>15021951</v>
      </c>
      <c r="G156" s="21" t="str">
        <f t="shared" si="4"/>
        <v>1951</v>
      </c>
      <c r="H156" s="22">
        <f t="shared" si="5"/>
        <v>75</v>
      </c>
      <c r="I156" s="29"/>
      <c r="J156" s="20" t="s">
        <v>27</v>
      </c>
      <c r="K156" s="6" t="s">
        <v>28</v>
      </c>
      <c r="L156" s="45" t="s">
        <v>483</v>
      </c>
      <c r="M156" s="45" t="s">
        <v>484</v>
      </c>
      <c r="N156" s="6"/>
      <c r="O156" s="6" t="s">
        <v>273</v>
      </c>
      <c r="P156" s="6">
        <v>140</v>
      </c>
      <c r="Q156" s="6">
        <v>40</v>
      </c>
      <c r="R156" s="26">
        <v>80</v>
      </c>
      <c r="S156" s="26">
        <v>3</v>
      </c>
      <c r="T156" s="26">
        <v>3</v>
      </c>
      <c r="U156" s="26"/>
      <c r="V156" s="6" t="s">
        <v>252</v>
      </c>
    </row>
    <row r="157" spans="1:22" s="4" customFormat="1" hidden="1">
      <c r="A157" s="20">
        <v>155</v>
      </c>
      <c r="B157" s="27">
        <v>46032</v>
      </c>
      <c r="C157" s="6" t="s">
        <v>485</v>
      </c>
      <c r="D157" s="6"/>
      <c r="E157" s="20" t="s">
        <v>2374</v>
      </c>
      <c r="F157" s="21">
        <v>5061968</v>
      </c>
      <c r="G157" s="21" t="str">
        <f t="shared" si="4"/>
        <v>1968</v>
      </c>
      <c r="H157" s="22">
        <f t="shared" si="5"/>
        <v>58</v>
      </c>
      <c r="I157" s="29" t="s">
        <v>27</v>
      </c>
      <c r="J157" s="20"/>
      <c r="K157" s="6" t="s">
        <v>28</v>
      </c>
      <c r="L157" s="45" t="s">
        <v>486</v>
      </c>
      <c r="M157" s="45" t="s">
        <v>487</v>
      </c>
      <c r="N157" s="6"/>
      <c r="O157" s="6" t="s">
        <v>288</v>
      </c>
      <c r="P157" s="6">
        <v>156</v>
      </c>
      <c r="Q157" s="6">
        <v>45</v>
      </c>
      <c r="R157" s="26">
        <v>75</v>
      </c>
      <c r="S157" s="26">
        <v>6</v>
      </c>
      <c r="T157" s="26">
        <v>6</v>
      </c>
      <c r="U157" s="26"/>
      <c r="V157" s="6" t="s">
        <v>252</v>
      </c>
    </row>
    <row r="158" spans="1:22" s="4" customFormat="1" hidden="1">
      <c r="A158" s="17">
        <v>156</v>
      </c>
      <c r="B158" s="27">
        <v>46032</v>
      </c>
      <c r="C158" s="6" t="s">
        <v>488</v>
      </c>
      <c r="D158" s="6"/>
      <c r="E158" s="20" t="s">
        <v>92</v>
      </c>
      <c r="F158" s="21">
        <v>10051963</v>
      </c>
      <c r="G158" s="21" t="str">
        <f t="shared" si="4"/>
        <v>1963</v>
      </c>
      <c r="H158" s="22">
        <f t="shared" si="5"/>
        <v>63</v>
      </c>
      <c r="I158" s="29"/>
      <c r="J158" s="20" t="s">
        <v>27</v>
      </c>
      <c r="K158" s="6" t="s">
        <v>28</v>
      </c>
      <c r="L158" s="25"/>
      <c r="M158" s="45" t="s">
        <v>489</v>
      </c>
      <c r="N158" s="6"/>
      <c r="O158" s="6" t="s">
        <v>87</v>
      </c>
      <c r="P158" s="6">
        <v>147</v>
      </c>
      <c r="Q158" s="6">
        <v>44</v>
      </c>
      <c r="R158" s="26">
        <v>73</v>
      </c>
      <c r="S158" s="26">
        <v>6</v>
      </c>
      <c r="T158" s="26">
        <v>6</v>
      </c>
      <c r="U158" s="26"/>
      <c r="V158" s="6"/>
    </row>
    <row r="159" spans="1:22" s="4" customFormat="1" hidden="1">
      <c r="A159" s="20">
        <v>157</v>
      </c>
      <c r="B159" s="27">
        <v>46032</v>
      </c>
      <c r="C159" s="6" t="s">
        <v>490</v>
      </c>
      <c r="D159" s="6"/>
      <c r="E159" s="20" t="s">
        <v>40</v>
      </c>
      <c r="F159" s="21">
        <v>30061954</v>
      </c>
      <c r="G159" s="21" t="str">
        <f t="shared" si="4"/>
        <v>1954</v>
      </c>
      <c r="H159" s="22">
        <f t="shared" si="5"/>
        <v>72</v>
      </c>
      <c r="I159" s="29"/>
      <c r="J159" s="20" t="s">
        <v>27</v>
      </c>
      <c r="K159" s="6" t="s">
        <v>115</v>
      </c>
      <c r="L159" s="25"/>
      <c r="M159" s="45" t="s">
        <v>491</v>
      </c>
      <c r="N159" s="6"/>
      <c r="O159" s="6" t="s">
        <v>60</v>
      </c>
      <c r="P159" s="6">
        <v>146</v>
      </c>
      <c r="Q159" s="6">
        <v>43</v>
      </c>
      <c r="R159" s="26">
        <v>73</v>
      </c>
      <c r="S159" s="26">
        <v>1</v>
      </c>
      <c r="T159" s="26" t="s">
        <v>150</v>
      </c>
      <c r="U159" s="26"/>
      <c r="V159" s="6" t="s">
        <v>252</v>
      </c>
    </row>
    <row r="160" spans="1:22" s="4" customFormat="1" hidden="1">
      <c r="A160" s="17">
        <v>158</v>
      </c>
      <c r="B160" s="27">
        <v>46032</v>
      </c>
      <c r="C160" s="6" t="s">
        <v>492</v>
      </c>
      <c r="D160" s="6"/>
      <c r="E160" s="20" t="s">
        <v>2374</v>
      </c>
      <c r="F160" s="21">
        <v>2031969</v>
      </c>
      <c r="G160" s="21" t="str">
        <f t="shared" si="4"/>
        <v>1969</v>
      </c>
      <c r="H160" s="22">
        <f t="shared" si="5"/>
        <v>57</v>
      </c>
      <c r="I160" s="29"/>
      <c r="J160" s="20" t="s">
        <v>27</v>
      </c>
      <c r="K160" s="6" t="s">
        <v>115</v>
      </c>
      <c r="L160" s="25"/>
      <c r="M160" s="45" t="s">
        <v>493</v>
      </c>
      <c r="N160" s="6"/>
      <c r="O160" s="6" t="s">
        <v>494</v>
      </c>
      <c r="P160" s="6">
        <v>150</v>
      </c>
      <c r="Q160" s="6">
        <v>37</v>
      </c>
      <c r="R160" s="26">
        <v>75</v>
      </c>
      <c r="S160" s="26">
        <v>7</v>
      </c>
      <c r="T160" s="26">
        <v>7</v>
      </c>
      <c r="U160" s="26"/>
      <c r="V160" s="6"/>
    </row>
    <row r="161" spans="1:22" s="4" customFormat="1" hidden="1">
      <c r="A161" s="20">
        <v>159</v>
      </c>
      <c r="B161" s="27">
        <v>46032</v>
      </c>
      <c r="C161" s="6" t="s">
        <v>495</v>
      </c>
      <c r="D161" s="6"/>
      <c r="E161" s="20" t="s">
        <v>40</v>
      </c>
      <c r="F161" s="21">
        <v>3031957</v>
      </c>
      <c r="G161" s="21" t="str">
        <f t="shared" si="4"/>
        <v>1957</v>
      </c>
      <c r="H161" s="22">
        <f t="shared" si="5"/>
        <v>69</v>
      </c>
      <c r="I161" s="29"/>
      <c r="J161" s="20" t="s">
        <v>27</v>
      </c>
      <c r="K161" s="6" t="s">
        <v>115</v>
      </c>
      <c r="L161" s="25"/>
      <c r="M161" s="45" t="s">
        <v>496</v>
      </c>
      <c r="N161" s="6"/>
      <c r="O161" s="6" t="s">
        <v>113</v>
      </c>
      <c r="P161" s="6">
        <v>145</v>
      </c>
      <c r="Q161" s="6">
        <v>41</v>
      </c>
      <c r="R161" s="26">
        <v>81</v>
      </c>
      <c r="S161" s="26">
        <v>5</v>
      </c>
      <c r="T161" s="26">
        <v>6</v>
      </c>
      <c r="U161" s="26"/>
      <c r="V161" s="6"/>
    </row>
    <row r="162" spans="1:22" s="4" customFormat="1" hidden="1">
      <c r="A162" s="17">
        <v>160</v>
      </c>
      <c r="B162" s="27">
        <v>46032</v>
      </c>
      <c r="C162" s="6" t="s">
        <v>497</v>
      </c>
      <c r="D162" s="6"/>
      <c r="E162" s="20" t="s">
        <v>40</v>
      </c>
      <c r="F162" s="21">
        <v>16041941</v>
      </c>
      <c r="G162" s="21" t="str">
        <f t="shared" si="4"/>
        <v>1941</v>
      </c>
      <c r="H162" s="22">
        <f t="shared" si="5"/>
        <v>85</v>
      </c>
      <c r="I162" s="29" t="s">
        <v>27</v>
      </c>
      <c r="J162" s="20"/>
      <c r="K162" s="6" t="s">
        <v>115</v>
      </c>
      <c r="L162" s="25"/>
      <c r="M162" s="45" t="s">
        <v>498</v>
      </c>
      <c r="N162" s="6"/>
      <c r="O162" s="6" t="s">
        <v>499</v>
      </c>
      <c r="P162" s="6">
        <v>160</v>
      </c>
      <c r="Q162" s="6">
        <v>48</v>
      </c>
      <c r="R162" s="26">
        <v>73</v>
      </c>
      <c r="S162" s="26">
        <v>5</v>
      </c>
      <c r="T162" s="26">
        <v>2</v>
      </c>
      <c r="U162" s="26"/>
      <c r="V162" s="6"/>
    </row>
    <row r="163" spans="1:22" s="4" customFormat="1" hidden="1">
      <c r="A163" s="20">
        <v>161</v>
      </c>
      <c r="B163" s="27">
        <v>46032</v>
      </c>
      <c r="C163" s="6" t="s">
        <v>500</v>
      </c>
      <c r="D163" s="6"/>
      <c r="E163" s="20" t="s">
        <v>2374</v>
      </c>
      <c r="F163" s="21">
        <v>19091967</v>
      </c>
      <c r="G163" s="21" t="str">
        <f t="shared" si="4"/>
        <v>1967</v>
      </c>
      <c r="H163" s="22">
        <f t="shared" si="5"/>
        <v>59</v>
      </c>
      <c r="I163" s="29" t="s">
        <v>27</v>
      </c>
      <c r="J163" s="20"/>
      <c r="K163" s="6" t="s">
        <v>115</v>
      </c>
      <c r="L163" s="25"/>
      <c r="M163" s="45" t="s">
        <v>501</v>
      </c>
      <c r="N163" s="6"/>
      <c r="O163" s="6" t="s">
        <v>149</v>
      </c>
      <c r="P163" s="6">
        <v>161</v>
      </c>
      <c r="Q163" s="6">
        <v>65</v>
      </c>
      <c r="R163" s="26">
        <v>66</v>
      </c>
      <c r="S163" s="26">
        <v>7</v>
      </c>
      <c r="T163" s="26">
        <v>6</v>
      </c>
      <c r="U163" s="26"/>
      <c r="V163" s="6"/>
    </row>
    <row r="164" spans="1:22" s="4" customFormat="1" hidden="1">
      <c r="A164" s="17">
        <v>162</v>
      </c>
      <c r="B164" s="27">
        <v>46032</v>
      </c>
      <c r="C164" s="6" t="s">
        <v>502</v>
      </c>
      <c r="D164" s="6"/>
      <c r="E164" s="20" t="s">
        <v>2374</v>
      </c>
      <c r="F164" s="21">
        <v>2081971</v>
      </c>
      <c r="G164" s="21" t="str">
        <f t="shared" si="4"/>
        <v>1971</v>
      </c>
      <c r="H164" s="22">
        <f t="shared" si="5"/>
        <v>55</v>
      </c>
      <c r="I164" s="29"/>
      <c r="J164" s="20" t="s">
        <v>27</v>
      </c>
      <c r="K164" s="6" t="s">
        <v>115</v>
      </c>
      <c r="L164" s="25"/>
      <c r="M164" s="45" t="s">
        <v>503</v>
      </c>
      <c r="N164" s="6"/>
      <c r="O164" s="6" t="s">
        <v>504</v>
      </c>
      <c r="P164" s="6">
        <v>162</v>
      </c>
      <c r="Q164" s="6">
        <v>51</v>
      </c>
      <c r="R164" s="26">
        <v>72</v>
      </c>
      <c r="S164" s="26">
        <v>7</v>
      </c>
      <c r="T164" s="26">
        <v>7</v>
      </c>
      <c r="U164" s="26"/>
      <c r="V164" s="6" t="s">
        <v>505</v>
      </c>
    </row>
    <row r="165" spans="1:22" s="4" customFormat="1" hidden="1">
      <c r="A165" s="20">
        <v>163</v>
      </c>
      <c r="B165" s="27">
        <v>46032</v>
      </c>
      <c r="C165" s="6" t="s">
        <v>506</v>
      </c>
      <c r="D165" s="6"/>
      <c r="E165" s="20" t="s">
        <v>2374</v>
      </c>
      <c r="F165" s="21">
        <v>25061994</v>
      </c>
      <c r="G165" s="21" t="str">
        <f t="shared" si="4"/>
        <v>1994</v>
      </c>
      <c r="H165" s="22">
        <f t="shared" si="5"/>
        <v>32</v>
      </c>
      <c r="I165" s="29" t="s">
        <v>27</v>
      </c>
      <c r="J165" s="20"/>
      <c r="K165" s="6" t="s">
        <v>32</v>
      </c>
      <c r="L165" s="25"/>
      <c r="M165" s="45" t="s">
        <v>507</v>
      </c>
      <c r="N165" s="6"/>
      <c r="O165" s="6" t="s">
        <v>508</v>
      </c>
      <c r="P165" s="6">
        <v>166</v>
      </c>
      <c r="Q165" s="6">
        <v>55</v>
      </c>
      <c r="R165" s="26">
        <v>79</v>
      </c>
      <c r="S165" s="26">
        <v>10</v>
      </c>
      <c r="T165" s="26">
        <v>10</v>
      </c>
      <c r="U165" s="26"/>
      <c r="V165" s="6"/>
    </row>
    <row r="166" spans="1:22" s="4" customFormat="1" hidden="1">
      <c r="A166" s="17">
        <v>164</v>
      </c>
      <c r="B166" s="27">
        <v>46032</v>
      </c>
      <c r="C166" s="6" t="s">
        <v>509</v>
      </c>
      <c r="D166" s="6"/>
      <c r="E166" s="20" t="s">
        <v>40</v>
      </c>
      <c r="F166" s="21">
        <v>1101945</v>
      </c>
      <c r="G166" s="21" t="str">
        <f t="shared" si="4"/>
        <v>1945</v>
      </c>
      <c r="H166" s="22">
        <f t="shared" si="5"/>
        <v>81</v>
      </c>
      <c r="I166" s="29" t="s">
        <v>27</v>
      </c>
      <c r="J166" s="20"/>
      <c r="K166" s="6" t="s">
        <v>115</v>
      </c>
      <c r="L166" s="25"/>
      <c r="M166" s="45" t="s">
        <v>510</v>
      </c>
      <c r="N166" s="6"/>
      <c r="O166" s="6" t="s">
        <v>511</v>
      </c>
      <c r="P166" s="6">
        <v>155</v>
      </c>
      <c r="Q166" s="6">
        <v>45</v>
      </c>
      <c r="R166" s="26">
        <v>87</v>
      </c>
      <c r="S166" s="26">
        <v>1</v>
      </c>
      <c r="T166" s="26" t="s">
        <v>130</v>
      </c>
      <c r="U166" s="26"/>
      <c r="V166" s="6"/>
    </row>
    <row r="167" spans="1:22" s="4" customFormat="1" hidden="1">
      <c r="A167" s="20">
        <v>165</v>
      </c>
      <c r="B167" s="27">
        <v>46032</v>
      </c>
      <c r="C167" s="6" t="s">
        <v>512</v>
      </c>
      <c r="D167" s="6"/>
      <c r="E167" s="20" t="s">
        <v>2374</v>
      </c>
      <c r="F167" s="21">
        <v>16101967</v>
      </c>
      <c r="G167" s="21" t="str">
        <f t="shared" si="4"/>
        <v>1967</v>
      </c>
      <c r="H167" s="22">
        <f t="shared" si="5"/>
        <v>59</v>
      </c>
      <c r="I167" s="29"/>
      <c r="J167" s="20" t="s">
        <v>27</v>
      </c>
      <c r="K167" s="6" t="s">
        <v>115</v>
      </c>
      <c r="L167" s="25"/>
      <c r="M167" s="45" t="s">
        <v>513</v>
      </c>
      <c r="N167" s="6"/>
      <c r="O167" s="6" t="s">
        <v>514</v>
      </c>
      <c r="P167" s="6">
        <v>165</v>
      </c>
      <c r="Q167" s="6">
        <v>56</v>
      </c>
      <c r="R167" s="26">
        <v>4</v>
      </c>
      <c r="S167" s="26">
        <v>7</v>
      </c>
      <c r="T167" s="26"/>
      <c r="U167" s="26"/>
      <c r="V167" s="6"/>
    </row>
    <row r="168" spans="1:22" s="4" customFormat="1" hidden="1">
      <c r="A168" s="17">
        <v>166</v>
      </c>
      <c r="B168" s="27">
        <v>46032</v>
      </c>
      <c r="C168" s="6" t="s">
        <v>515</v>
      </c>
      <c r="D168" s="6"/>
      <c r="E168" s="20" t="s">
        <v>2374</v>
      </c>
      <c r="F168" s="21">
        <v>6041972</v>
      </c>
      <c r="G168" s="21" t="str">
        <f t="shared" si="4"/>
        <v>1972</v>
      </c>
      <c r="H168" s="22">
        <f t="shared" si="5"/>
        <v>54</v>
      </c>
      <c r="I168" s="29"/>
      <c r="J168" s="20" t="s">
        <v>27</v>
      </c>
      <c r="K168" s="6" t="s">
        <v>28</v>
      </c>
      <c r="L168" s="25"/>
      <c r="M168" s="45" t="s">
        <v>516</v>
      </c>
      <c r="N168" s="6"/>
      <c r="O168" s="6" t="s">
        <v>517</v>
      </c>
      <c r="P168" s="6">
        <v>150</v>
      </c>
      <c r="Q168" s="6">
        <v>61</v>
      </c>
      <c r="R168" s="26">
        <v>83</v>
      </c>
      <c r="S168" s="26">
        <v>6</v>
      </c>
      <c r="T168" s="26">
        <v>6</v>
      </c>
      <c r="U168" s="26"/>
      <c r="V168" s="6"/>
    </row>
    <row r="169" spans="1:22" s="4" customFormat="1" hidden="1">
      <c r="A169" s="20">
        <v>167</v>
      </c>
      <c r="B169" s="27">
        <v>46032</v>
      </c>
      <c r="C169" s="6" t="s">
        <v>518</v>
      </c>
      <c r="D169" s="6"/>
      <c r="E169" s="20" t="s">
        <v>40</v>
      </c>
      <c r="F169" s="21">
        <v>2031940</v>
      </c>
      <c r="G169" s="21" t="str">
        <f t="shared" si="4"/>
        <v>1940</v>
      </c>
      <c r="H169" s="22">
        <f t="shared" si="5"/>
        <v>86</v>
      </c>
      <c r="I169" s="29"/>
      <c r="J169" s="20" t="s">
        <v>27</v>
      </c>
      <c r="K169" s="6" t="s">
        <v>32</v>
      </c>
      <c r="L169" s="25"/>
      <c r="M169" s="45" t="s">
        <v>519</v>
      </c>
      <c r="N169" s="6"/>
      <c r="O169" s="6" t="s">
        <v>520</v>
      </c>
      <c r="P169" s="6">
        <v>153</v>
      </c>
      <c r="Q169" s="6">
        <v>45</v>
      </c>
      <c r="R169" s="26">
        <v>83</v>
      </c>
      <c r="S169" s="26">
        <v>1</v>
      </c>
      <c r="T169" s="26">
        <v>1</v>
      </c>
      <c r="U169" s="26"/>
      <c r="V169" s="6"/>
    </row>
    <row r="170" spans="1:22" s="4" customFormat="1" hidden="1">
      <c r="A170" s="17">
        <v>168</v>
      </c>
      <c r="B170" s="27">
        <v>46032</v>
      </c>
      <c r="C170" s="6" t="s">
        <v>521</v>
      </c>
      <c r="D170" s="6"/>
      <c r="E170" s="20" t="s">
        <v>2374</v>
      </c>
      <c r="F170" s="21">
        <v>1121984</v>
      </c>
      <c r="G170" s="21" t="str">
        <f t="shared" si="4"/>
        <v>1984</v>
      </c>
      <c r="H170" s="22">
        <f t="shared" si="5"/>
        <v>42</v>
      </c>
      <c r="I170" s="29"/>
      <c r="J170" s="20" t="s">
        <v>212</v>
      </c>
      <c r="K170" s="6" t="s">
        <v>115</v>
      </c>
      <c r="L170" s="25"/>
      <c r="M170" s="45" t="s">
        <v>522</v>
      </c>
      <c r="N170" s="6"/>
      <c r="O170" s="6" t="s">
        <v>523</v>
      </c>
      <c r="P170" s="6">
        <v>150</v>
      </c>
      <c r="Q170" s="6">
        <v>48</v>
      </c>
      <c r="R170" s="26">
        <v>100</v>
      </c>
      <c r="S170" s="26">
        <v>9</v>
      </c>
      <c r="T170" s="26">
        <v>10</v>
      </c>
      <c r="U170" s="26"/>
      <c r="V170" s="6"/>
    </row>
    <row r="171" spans="1:22" s="4" customFormat="1" hidden="1">
      <c r="A171" s="20">
        <v>169</v>
      </c>
      <c r="B171" s="27">
        <v>46032</v>
      </c>
      <c r="C171" s="6" t="s">
        <v>524</v>
      </c>
      <c r="D171" s="6"/>
      <c r="E171" s="20" t="s">
        <v>40</v>
      </c>
      <c r="F171" s="21">
        <v>1051960</v>
      </c>
      <c r="G171" s="21" t="str">
        <f t="shared" si="4"/>
        <v>1960</v>
      </c>
      <c r="H171" s="22">
        <f t="shared" si="5"/>
        <v>66</v>
      </c>
      <c r="I171" s="29"/>
      <c r="J171" s="20" t="s">
        <v>27</v>
      </c>
      <c r="K171" s="6" t="s">
        <v>115</v>
      </c>
      <c r="L171" s="25"/>
      <c r="M171" s="45" t="s">
        <v>525</v>
      </c>
      <c r="N171" s="6"/>
      <c r="O171" s="6" t="s">
        <v>526</v>
      </c>
      <c r="P171" s="6">
        <v>156</v>
      </c>
      <c r="Q171" s="6">
        <v>57</v>
      </c>
      <c r="R171" s="26">
        <v>112</v>
      </c>
      <c r="S171" s="26">
        <v>6</v>
      </c>
      <c r="T171" s="26">
        <v>5</v>
      </c>
      <c r="U171" s="26"/>
      <c r="V171" s="6" t="s">
        <v>252</v>
      </c>
    </row>
    <row r="172" spans="1:22" s="4" customFormat="1" hidden="1">
      <c r="A172" s="17">
        <v>170</v>
      </c>
      <c r="B172" s="27">
        <v>46032</v>
      </c>
      <c r="C172" s="6" t="s">
        <v>215</v>
      </c>
      <c r="D172" s="6"/>
      <c r="E172" s="20" t="s">
        <v>2374</v>
      </c>
      <c r="F172" s="21">
        <v>12101967</v>
      </c>
      <c r="G172" s="21" t="str">
        <f t="shared" si="4"/>
        <v>1967</v>
      </c>
      <c r="H172" s="22">
        <f t="shared" si="5"/>
        <v>59</v>
      </c>
      <c r="I172" s="29"/>
      <c r="J172" s="20" t="s">
        <v>27</v>
      </c>
      <c r="K172" s="6" t="s">
        <v>115</v>
      </c>
      <c r="L172" s="25"/>
      <c r="M172" s="45" t="s">
        <v>527</v>
      </c>
      <c r="N172" s="6"/>
      <c r="O172" s="6" t="s">
        <v>528</v>
      </c>
      <c r="P172" s="6">
        <v>154</v>
      </c>
      <c r="Q172" s="6">
        <v>55</v>
      </c>
      <c r="R172" s="26">
        <v>70</v>
      </c>
      <c r="S172" s="26"/>
      <c r="T172" s="26"/>
      <c r="U172" s="26"/>
      <c r="V172" s="6" t="s">
        <v>252</v>
      </c>
    </row>
    <row r="173" spans="1:22" s="4" customFormat="1" hidden="1">
      <c r="A173" s="20">
        <v>171</v>
      </c>
      <c r="B173" s="27">
        <v>46032</v>
      </c>
      <c r="C173" s="6" t="s">
        <v>529</v>
      </c>
      <c r="D173" s="6"/>
      <c r="E173" s="20" t="s">
        <v>2374</v>
      </c>
      <c r="F173" s="21">
        <v>4021972</v>
      </c>
      <c r="G173" s="21" t="str">
        <f t="shared" si="4"/>
        <v>1972</v>
      </c>
      <c r="H173" s="22">
        <f t="shared" si="5"/>
        <v>54</v>
      </c>
      <c r="I173" s="29"/>
      <c r="J173" s="20" t="s">
        <v>27</v>
      </c>
      <c r="K173" s="6" t="s">
        <v>115</v>
      </c>
      <c r="L173" s="25"/>
      <c r="M173" s="45" t="s">
        <v>530</v>
      </c>
      <c r="N173" s="6"/>
      <c r="O173" s="6" t="s">
        <v>531</v>
      </c>
      <c r="P173" s="6">
        <v>157</v>
      </c>
      <c r="Q173" s="6">
        <v>55</v>
      </c>
      <c r="R173" s="26">
        <v>88</v>
      </c>
      <c r="S173" s="26">
        <v>6</v>
      </c>
      <c r="T173" s="26">
        <v>5</v>
      </c>
      <c r="U173" s="26"/>
      <c r="V173" s="6" t="s">
        <v>532</v>
      </c>
    </row>
    <row r="174" spans="1:22" s="4" customFormat="1" hidden="1">
      <c r="A174" s="17">
        <v>172</v>
      </c>
      <c r="B174" s="27">
        <v>46032</v>
      </c>
      <c r="C174" s="6" t="s">
        <v>533</v>
      </c>
      <c r="D174" s="6"/>
      <c r="E174" s="20" t="s">
        <v>2374</v>
      </c>
      <c r="F174" s="21">
        <v>7051990</v>
      </c>
      <c r="G174" s="21" t="str">
        <f t="shared" si="4"/>
        <v>1990</v>
      </c>
      <c r="H174" s="22">
        <f t="shared" si="5"/>
        <v>36</v>
      </c>
      <c r="I174" s="29"/>
      <c r="J174" s="20" t="s">
        <v>27</v>
      </c>
      <c r="K174" s="6" t="s">
        <v>534</v>
      </c>
      <c r="L174" s="25"/>
      <c r="M174" s="45" t="s">
        <v>535</v>
      </c>
      <c r="N174" s="6"/>
      <c r="O174" s="6" t="s">
        <v>536</v>
      </c>
      <c r="P174" s="6">
        <v>152</v>
      </c>
      <c r="Q174" s="6">
        <v>56</v>
      </c>
      <c r="R174" s="26">
        <v>80</v>
      </c>
      <c r="S174" s="26">
        <v>10</v>
      </c>
      <c r="T174" s="26">
        <v>10</v>
      </c>
      <c r="U174" s="26"/>
      <c r="V174" s="6"/>
    </row>
    <row r="175" spans="1:22" s="4" customFormat="1" hidden="1">
      <c r="A175" s="20">
        <v>173</v>
      </c>
      <c r="B175" s="27">
        <v>46032</v>
      </c>
      <c r="C175" s="6" t="s">
        <v>537</v>
      </c>
      <c r="D175" s="6"/>
      <c r="E175" s="20" t="s">
        <v>2374</v>
      </c>
      <c r="F175" s="21">
        <v>9041988</v>
      </c>
      <c r="G175" s="21" t="str">
        <f t="shared" si="4"/>
        <v>1988</v>
      </c>
      <c r="H175" s="22">
        <f t="shared" si="5"/>
        <v>38</v>
      </c>
      <c r="I175" s="29"/>
      <c r="J175" s="20" t="s">
        <v>27</v>
      </c>
      <c r="K175" s="6" t="s">
        <v>534</v>
      </c>
      <c r="L175" s="25"/>
      <c r="M175" s="45" t="s">
        <v>538</v>
      </c>
      <c r="N175" s="6"/>
      <c r="O175" s="6" t="s">
        <v>504</v>
      </c>
      <c r="P175" s="6">
        <v>159</v>
      </c>
      <c r="Q175" s="6">
        <v>51</v>
      </c>
      <c r="R175" s="26">
        <v>70</v>
      </c>
      <c r="S175" s="26">
        <v>10</v>
      </c>
      <c r="T175" s="26">
        <v>10</v>
      </c>
      <c r="U175" s="26"/>
      <c r="V175" s="6"/>
    </row>
    <row r="176" spans="1:22" s="4" customFormat="1" hidden="1">
      <c r="A176" s="17">
        <v>174</v>
      </c>
      <c r="B176" s="27">
        <v>46032</v>
      </c>
      <c r="C176" s="6" t="s">
        <v>539</v>
      </c>
      <c r="D176" s="6"/>
      <c r="E176" s="20" t="s">
        <v>40</v>
      </c>
      <c r="F176" s="21">
        <v>7031965</v>
      </c>
      <c r="G176" s="21" t="str">
        <f t="shared" si="4"/>
        <v>1965</v>
      </c>
      <c r="H176" s="22">
        <f t="shared" si="5"/>
        <v>61</v>
      </c>
      <c r="I176" s="29"/>
      <c r="J176" s="20" t="s">
        <v>27</v>
      </c>
      <c r="K176" s="6" t="s">
        <v>115</v>
      </c>
      <c r="L176" s="25"/>
      <c r="M176" s="25" t="s">
        <v>540</v>
      </c>
      <c r="N176" s="6"/>
      <c r="O176" s="6" t="s">
        <v>34</v>
      </c>
      <c r="P176" s="6">
        <v>155</v>
      </c>
      <c r="Q176" s="6">
        <v>57</v>
      </c>
      <c r="R176" s="26">
        <v>70</v>
      </c>
      <c r="S176" s="26">
        <v>7</v>
      </c>
      <c r="T176" s="26">
        <v>7</v>
      </c>
      <c r="U176" s="26"/>
      <c r="V176" s="6" t="s">
        <v>252</v>
      </c>
    </row>
    <row r="177" spans="1:22" s="4" customFormat="1" hidden="1">
      <c r="A177" s="20">
        <v>175</v>
      </c>
      <c r="B177" s="27">
        <v>46032</v>
      </c>
      <c r="C177" s="6" t="s">
        <v>541</v>
      </c>
      <c r="D177" s="6"/>
      <c r="E177" s="20" t="s">
        <v>542</v>
      </c>
      <c r="F177" s="21">
        <v>1041957</v>
      </c>
      <c r="G177" s="21" t="str">
        <f t="shared" si="4"/>
        <v>1957</v>
      </c>
      <c r="H177" s="22">
        <f t="shared" si="5"/>
        <v>69</v>
      </c>
      <c r="I177" s="29" t="s">
        <v>27</v>
      </c>
      <c r="J177" s="20"/>
      <c r="K177" s="6" t="s">
        <v>115</v>
      </c>
      <c r="L177" s="25"/>
      <c r="M177" s="45" t="s">
        <v>543</v>
      </c>
      <c r="N177" s="6"/>
      <c r="O177" s="6" t="s">
        <v>34</v>
      </c>
      <c r="P177" s="6">
        <v>167</v>
      </c>
      <c r="Q177" s="6">
        <v>59</v>
      </c>
      <c r="R177" s="26"/>
      <c r="S177" s="26">
        <v>7</v>
      </c>
      <c r="T177" s="26">
        <v>6</v>
      </c>
      <c r="U177" s="26"/>
      <c r="V177" s="6" t="s">
        <v>252</v>
      </c>
    </row>
    <row r="178" spans="1:22" s="4" customFormat="1" hidden="1">
      <c r="A178" s="17">
        <v>176</v>
      </c>
      <c r="B178" s="27">
        <v>46032</v>
      </c>
      <c r="C178" s="6" t="s">
        <v>544</v>
      </c>
      <c r="D178" s="6"/>
      <c r="E178" s="20" t="s">
        <v>40</v>
      </c>
      <c r="F178" s="32">
        <v>8021959</v>
      </c>
      <c r="G178" s="21" t="str">
        <f t="shared" si="4"/>
        <v>1959</v>
      </c>
      <c r="H178" s="22">
        <f t="shared" si="5"/>
        <v>67</v>
      </c>
      <c r="I178" s="29"/>
      <c r="J178" s="20" t="s">
        <v>27</v>
      </c>
      <c r="K178" s="6" t="s">
        <v>115</v>
      </c>
      <c r="L178" s="25"/>
      <c r="M178" s="45" t="s">
        <v>545</v>
      </c>
      <c r="N178" s="6"/>
      <c r="O178" s="6" t="s">
        <v>113</v>
      </c>
      <c r="P178" s="6">
        <v>145</v>
      </c>
      <c r="Q178" s="6">
        <v>40</v>
      </c>
      <c r="R178" s="26">
        <v>74</v>
      </c>
      <c r="S178" s="26">
        <v>5</v>
      </c>
      <c r="T178" s="26">
        <v>5</v>
      </c>
      <c r="U178" s="26"/>
      <c r="V178" s="6"/>
    </row>
    <row r="179" spans="1:22" s="4" customFormat="1" hidden="1">
      <c r="A179" s="20">
        <v>177</v>
      </c>
      <c r="B179" s="27">
        <v>46032</v>
      </c>
      <c r="C179" s="6" t="s">
        <v>546</v>
      </c>
      <c r="D179" s="6"/>
      <c r="E179" s="20" t="s">
        <v>2374</v>
      </c>
      <c r="F179" s="32">
        <v>19111972</v>
      </c>
      <c r="G179" s="21" t="str">
        <f t="shared" si="4"/>
        <v>1972</v>
      </c>
      <c r="H179" s="22">
        <f t="shared" si="5"/>
        <v>54</v>
      </c>
      <c r="I179" s="29"/>
      <c r="J179" s="20" t="s">
        <v>27</v>
      </c>
      <c r="K179" s="6" t="s">
        <v>115</v>
      </c>
      <c r="L179" s="25"/>
      <c r="M179" s="45" t="s">
        <v>547</v>
      </c>
      <c r="N179" s="6"/>
      <c r="O179" s="6" t="s">
        <v>548</v>
      </c>
      <c r="P179" s="6">
        <v>156</v>
      </c>
      <c r="Q179" s="6">
        <v>60</v>
      </c>
      <c r="R179" s="26">
        <v>75</v>
      </c>
      <c r="S179" s="26">
        <v>7</v>
      </c>
      <c r="T179" s="26">
        <v>8</v>
      </c>
      <c r="U179" s="26"/>
      <c r="V179" s="6"/>
    </row>
    <row r="180" spans="1:22" s="4" customFormat="1" hidden="1">
      <c r="A180" s="17">
        <v>178</v>
      </c>
      <c r="B180" s="27">
        <v>46032</v>
      </c>
      <c r="C180" s="6" t="s">
        <v>549</v>
      </c>
      <c r="D180" s="6"/>
      <c r="E180" s="20" t="s">
        <v>2374</v>
      </c>
      <c r="F180" s="32">
        <v>25081989</v>
      </c>
      <c r="G180" s="21" t="str">
        <f t="shared" si="4"/>
        <v>1989</v>
      </c>
      <c r="H180" s="22">
        <f t="shared" si="5"/>
        <v>37</v>
      </c>
      <c r="I180" s="29"/>
      <c r="J180" s="20" t="s">
        <v>27</v>
      </c>
      <c r="K180" s="6" t="s">
        <v>115</v>
      </c>
      <c r="L180" s="25"/>
      <c r="M180" s="45" t="s">
        <v>550</v>
      </c>
      <c r="N180" s="6"/>
      <c r="O180" s="6" t="s">
        <v>146</v>
      </c>
      <c r="P180" s="6">
        <v>159</v>
      </c>
      <c r="Q180" s="6">
        <v>57</v>
      </c>
      <c r="R180" s="26">
        <v>75</v>
      </c>
      <c r="S180" s="26">
        <v>10</v>
      </c>
      <c r="T180" s="26">
        <v>10</v>
      </c>
      <c r="U180" s="26"/>
      <c r="V180" s="6"/>
    </row>
    <row r="181" spans="1:22" s="4" customFormat="1" hidden="1">
      <c r="A181" s="20">
        <v>179</v>
      </c>
      <c r="B181" s="27">
        <v>46032</v>
      </c>
      <c r="C181" s="6" t="s">
        <v>95</v>
      </c>
      <c r="D181" s="6"/>
      <c r="E181" s="20" t="s">
        <v>40</v>
      </c>
      <c r="F181" s="32">
        <v>1021946</v>
      </c>
      <c r="G181" s="21" t="str">
        <f t="shared" si="4"/>
        <v>1946</v>
      </c>
      <c r="H181" s="22">
        <f t="shared" si="5"/>
        <v>80</v>
      </c>
      <c r="I181" s="29"/>
      <c r="J181" s="20" t="s">
        <v>27</v>
      </c>
      <c r="K181" s="6" t="s">
        <v>115</v>
      </c>
      <c r="L181" s="25"/>
      <c r="M181" s="45" t="s">
        <v>551</v>
      </c>
      <c r="N181" s="6"/>
      <c r="O181" s="6" t="s">
        <v>209</v>
      </c>
      <c r="P181" s="6">
        <v>100</v>
      </c>
      <c r="Q181" s="6">
        <v>27</v>
      </c>
      <c r="R181" s="26">
        <v>70</v>
      </c>
      <c r="S181" s="26">
        <v>3</v>
      </c>
      <c r="T181" s="26">
        <v>3</v>
      </c>
      <c r="U181" s="26"/>
      <c r="V181" s="6"/>
    </row>
    <row r="182" spans="1:22" s="4" customFormat="1" hidden="1">
      <c r="A182" s="17">
        <v>180</v>
      </c>
      <c r="B182" s="27">
        <v>46032</v>
      </c>
      <c r="C182" s="6" t="s">
        <v>552</v>
      </c>
      <c r="D182" s="6"/>
      <c r="E182" s="20" t="s">
        <v>40</v>
      </c>
      <c r="F182" s="32">
        <v>5021932</v>
      </c>
      <c r="G182" s="21" t="str">
        <f t="shared" si="4"/>
        <v>1932</v>
      </c>
      <c r="H182" s="22">
        <f t="shared" si="5"/>
        <v>94</v>
      </c>
      <c r="I182" s="29" t="s">
        <v>27</v>
      </c>
      <c r="J182" s="20"/>
      <c r="K182" s="6" t="s">
        <v>115</v>
      </c>
      <c r="L182" s="25"/>
      <c r="M182" s="45" t="s">
        <v>553</v>
      </c>
      <c r="N182" s="6"/>
      <c r="O182" s="6" t="s">
        <v>554</v>
      </c>
      <c r="P182" s="6">
        <v>160</v>
      </c>
      <c r="Q182" s="6">
        <v>45</v>
      </c>
      <c r="R182" s="26">
        <v>68</v>
      </c>
      <c r="S182" s="26" t="s">
        <v>150</v>
      </c>
      <c r="T182" s="26" t="s">
        <v>156</v>
      </c>
      <c r="U182" s="26"/>
      <c r="V182" s="6"/>
    </row>
    <row r="183" spans="1:22" s="4" customFormat="1" hidden="1">
      <c r="A183" s="20">
        <v>181</v>
      </c>
      <c r="B183" s="27">
        <v>46032</v>
      </c>
      <c r="C183" s="6" t="s">
        <v>555</v>
      </c>
      <c r="D183" s="6"/>
      <c r="E183" s="20" t="s">
        <v>40</v>
      </c>
      <c r="F183" s="32">
        <v>20051948</v>
      </c>
      <c r="G183" s="21" t="str">
        <f t="shared" si="4"/>
        <v>1948</v>
      </c>
      <c r="H183" s="22">
        <f t="shared" si="5"/>
        <v>78</v>
      </c>
      <c r="I183" s="29" t="s">
        <v>27</v>
      </c>
      <c r="J183" s="20"/>
      <c r="K183" s="6"/>
      <c r="L183" s="25"/>
      <c r="M183" s="45" t="s">
        <v>556</v>
      </c>
      <c r="N183" s="6"/>
      <c r="O183" s="6" t="s">
        <v>557</v>
      </c>
      <c r="P183" s="6"/>
      <c r="Q183" s="6"/>
      <c r="R183" s="26">
        <v>77</v>
      </c>
      <c r="S183" s="26">
        <v>5</v>
      </c>
      <c r="T183" s="26">
        <v>2</v>
      </c>
      <c r="U183" s="26"/>
      <c r="V183" s="6" t="s">
        <v>252</v>
      </c>
    </row>
    <row r="184" spans="1:22" s="4" customFormat="1" hidden="1">
      <c r="A184" s="17">
        <v>182</v>
      </c>
      <c r="B184" s="27">
        <v>46032</v>
      </c>
      <c r="C184" s="6" t="s">
        <v>558</v>
      </c>
      <c r="D184" s="6"/>
      <c r="E184" s="20" t="s">
        <v>40</v>
      </c>
      <c r="F184" s="32">
        <v>10051948</v>
      </c>
      <c r="G184" s="21" t="str">
        <f t="shared" si="4"/>
        <v>1948</v>
      </c>
      <c r="H184" s="22">
        <f t="shared" si="5"/>
        <v>78</v>
      </c>
      <c r="I184" s="29"/>
      <c r="J184" s="20" t="s">
        <v>27</v>
      </c>
      <c r="K184" s="6" t="s">
        <v>115</v>
      </c>
      <c r="L184" s="25"/>
      <c r="M184" s="25"/>
      <c r="N184" s="6"/>
      <c r="O184" s="6" t="s">
        <v>559</v>
      </c>
      <c r="P184" s="6">
        <v>150</v>
      </c>
      <c r="Q184" s="6">
        <v>40</v>
      </c>
      <c r="R184" s="26">
        <v>102</v>
      </c>
      <c r="S184" s="26">
        <v>7</v>
      </c>
      <c r="T184" s="26">
        <v>8</v>
      </c>
      <c r="U184" s="26"/>
      <c r="V184" s="6" t="s">
        <v>252</v>
      </c>
    </row>
    <row r="185" spans="1:22" s="4" customFormat="1" hidden="1">
      <c r="A185" s="20">
        <v>183</v>
      </c>
      <c r="B185" s="27">
        <v>46032</v>
      </c>
      <c r="C185" s="6" t="s">
        <v>560</v>
      </c>
      <c r="D185" s="6"/>
      <c r="E185" s="20" t="s">
        <v>40</v>
      </c>
      <c r="F185" s="32">
        <v>1011933</v>
      </c>
      <c r="G185" s="21" t="str">
        <f t="shared" si="4"/>
        <v>1933</v>
      </c>
      <c r="H185" s="22">
        <f t="shared" si="5"/>
        <v>93</v>
      </c>
      <c r="I185" s="29" t="s">
        <v>27</v>
      </c>
      <c r="J185" s="20"/>
      <c r="K185" s="6" t="s">
        <v>115</v>
      </c>
      <c r="L185" s="25"/>
      <c r="M185" s="45" t="s">
        <v>561</v>
      </c>
      <c r="N185" s="6"/>
      <c r="O185" s="6" t="s">
        <v>87</v>
      </c>
      <c r="P185" s="6">
        <v>165</v>
      </c>
      <c r="Q185" s="6">
        <v>41</v>
      </c>
      <c r="R185" s="26">
        <v>83</v>
      </c>
      <c r="S185" s="26">
        <v>3</v>
      </c>
      <c r="T185" s="26">
        <v>2</v>
      </c>
      <c r="U185" s="26"/>
      <c r="V185" s="6"/>
    </row>
    <row r="186" spans="1:22" s="4" customFormat="1" hidden="1">
      <c r="A186" s="17">
        <v>184</v>
      </c>
      <c r="B186" s="27">
        <v>46032</v>
      </c>
      <c r="C186" s="6" t="s">
        <v>562</v>
      </c>
      <c r="D186" s="6"/>
      <c r="E186" s="20" t="s">
        <v>40</v>
      </c>
      <c r="F186" s="32">
        <v>23121955</v>
      </c>
      <c r="G186" s="21" t="str">
        <f t="shared" si="4"/>
        <v>1955</v>
      </c>
      <c r="H186" s="22">
        <f t="shared" si="5"/>
        <v>71</v>
      </c>
      <c r="I186" s="29"/>
      <c r="J186" s="20" t="s">
        <v>27</v>
      </c>
      <c r="K186" s="6" t="s">
        <v>115</v>
      </c>
      <c r="L186" s="25"/>
      <c r="M186" s="45" t="s">
        <v>563</v>
      </c>
      <c r="N186" s="6"/>
      <c r="O186" s="6" t="s">
        <v>143</v>
      </c>
      <c r="P186" s="6">
        <v>150</v>
      </c>
      <c r="Q186" s="6">
        <v>40</v>
      </c>
      <c r="R186" s="26">
        <v>82</v>
      </c>
      <c r="S186" s="26">
        <v>4</v>
      </c>
      <c r="T186" s="26">
        <v>5</v>
      </c>
      <c r="U186" s="26"/>
      <c r="V186" s="6"/>
    </row>
    <row r="187" spans="1:22" s="4" customFormat="1" hidden="1">
      <c r="A187" s="20">
        <v>185</v>
      </c>
      <c r="B187" s="27">
        <v>46032</v>
      </c>
      <c r="C187" s="6" t="s">
        <v>564</v>
      </c>
      <c r="D187" s="6"/>
      <c r="E187" s="20" t="s">
        <v>40</v>
      </c>
      <c r="F187" s="32">
        <v>7101926</v>
      </c>
      <c r="G187" s="21" t="str">
        <f t="shared" si="4"/>
        <v>1926</v>
      </c>
      <c r="H187" s="22">
        <f t="shared" si="5"/>
        <v>100</v>
      </c>
      <c r="I187" s="29"/>
      <c r="J187" s="20" t="s">
        <v>27</v>
      </c>
      <c r="K187" s="6" t="s">
        <v>115</v>
      </c>
      <c r="L187" s="25"/>
      <c r="M187" s="45" t="s">
        <v>565</v>
      </c>
      <c r="N187" s="6"/>
      <c r="O187" s="6" t="s">
        <v>146</v>
      </c>
      <c r="P187" s="6">
        <v>145</v>
      </c>
      <c r="Q187" s="6">
        <v>42</v>
      </c>
      <c r="R187" s="26">
        <v>72</v>
      </c>
      <c r="S187" s="26">
        <v>2</v>
      </c>
      <c r="T187" s="26">
        <v>3</v>
      </c>
      <c r="U187" s="26"/>
      <c r="V187" s="6" t="s">
        <v>566</v>
      </c>
    </row>
  </sheetData>
  <autoFilter ref="A2:X187" xr:uid="{3AC407D4-048A-46A0-9F19-D505CF144616}">
    <filterColumn colId="4">
      <filters>
        <filter val="NGHÈO"/>
      </filters>
    </filterColumn>
  </autoFilter>
  <mergeCells count="1">
    <mergeCell ref="I1:J1"/>
  </mergeCells>
  <conditionalFormatting sqref="C1:D187">
    <cfRule type="duplicateValues" dxfId="1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3D6F-239A-44A7-B005-CDD33B5419A4}">
  <sheetPr filterMode="1"/>
  <dimension ref="A1:V132"/>
  <sheetViews>
    <sheetView workbookViewId="0">
      <selection sqref="A1:XFD2"/>
    </sheetView>
  </sheetViews>
  <sheetFormatPr defaultRowHeight="15"/>
  <cols>
    <col min="2" max="2" width="18.42578125" customWidth="1"/>
    <col min="7" max="7" width="19" customWidth="1"/>
  </cols>
  <sheetData>
    <row r="1" spans="1:22" s="1" customFormat="1" ht="57">
      <c r="A1" s="9" t="s">
        <v>4</v>
      </c>
      <c r="B1" s="9" t="s">
        <v>5</v>
      </c>
      <c r="C1" s="9" t="s">
        <v>6</v>
      </c>
      <c r="D1" s="9"/>
      <c r="E1" s="10" t="s">
        <v>7</v>
      </c>
      <c r="F1" s="9" t="s">
        <v>8</v>
      </c>
      <c r="G1" s="11" t="s">
        <v>9</v>
      </c>
      <c r="H1" s="11" t="s">
        <v>10</v>
      </c>
      <c r="I1" s="69" t="s">
        <v>11</v>
      </c>
      <c r="J1" s="70"/>
      <c r="K1" s="9" t="s">
        <v>12</v>
      </c>
      <c r="L1" s="13" t="s">
        <v>13</v>
      </c>
      <c r="M1" s="13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</row>
    <row r="2" spans="1:22" s="1" customFormat="1" ht="14.25">
      <c r="A2" s="11"/>
      <c r="B2" s="16"/>
      <c r="C2" s="12"/>
      <c r="D2" s="12"/>
      <c r="E2" s="10"/>
      <c r="F2" s="9"/>
      <c r="G2" s="11"/>
      <c r="H2" s="11"/>
      <c r="I2" s="11" t="s">
        <v>24</v>
      </c>
      <c r="J2" s="12" t="s">
        <v>25</v>
      </c>
      <c r="K2" s="9"/>
      <c r="L2" s="13"/>
      <c r="M2" s="13"/>
      <c r="N2" s="10"/>
      <c r="O2" s="10"/>
      <c r="P2" s="10"/>
      <c r="Q2" s="10"/>
      <c r="R2" s="14"/>
      <c r="S2" s="14"/>
      <c r="T2" s="14"/>
      <c r="U2" s="14"/>
      <c r="V2" s="15"/>
    </row>
    <row r="3" spans="1:22" s="4" customFormat="1" hidden="1">
      <c r="A3" s="17">
        <v>186</v>
      </c>
      <c r="B3" s="27">
        <v>46063</v>
      </c>
      <c r="C3" s="6" t="s">
        <v>567</v>
      </c>
      <c r="D3" s="6"/>
      <c r="E3" s="6" t="s">
        <v>2374</v>
      </c>
      <c r="F3" s="33">
        <v>25424</v>
      </c>
      <c r="G3" s="21">
        <f>YEAR(F3)</f>
        <v>1969</v>
      </c>
      <c r="H3" s="22">
        <f t="shared" ref="H3:H66" si="0">2026-G3</f>
        <v>57</v>
      </c>
      <c r="I3" s="23" t="s">
        <v>27</v>
      </c>
      <c r="J3" s="20"/>
      <c r="K3" s="6" t="s">
        <v>568</v>
      </c>
      <c r="L3" s="25"/>
      <c r="M3" s="25" t="s">
        <v>569</v>
      </c>
      <c r="N3" s="6"/>
      <c r="O3" s="6" t="s">
        <v>570</v>
      </c>
      <c r="P3" s="6">
        <v>165</v>
      </c>
      <c r="Q3" s="6">
        <v>54</v>
      </c>
      <c r="R3" s="26">
        <v>80</v>
      </c>
      <c r="S3" s="26"/>
      <c r="T3" s="26"/>
      <c r="U3" s="26"/>
      <c r="V3" s="6" t="s">
        <v>571</v>
      </c>
    </row>
    <row r="4" spans="1:22" s="4" customFormat="1">
      <c r="A4" s="20">
        <v>187</v>
      </c>
      <c r="B4" s="27">
        <v>46063</v>
      </c>
      <c r="C4" s="6" t="s">
        <v>572</v>
      </c>
      <c r="D4" s="6"/>
      <c r="E4" s="6" t="s">
        <v>40</v>
      </c>
      <c r="F4" s="33">
        <v>20090</v>
      </c>
      <c r="G4" s="21">
        <f>YEAR(F4)</f>
        <v>1955</v>
      </c>
      <c r="H4" s="22">
        <f t="shared" si="0"/>
        <v>71</v>
      </c>
      <c r="I4" s="23"/>
      <c r="J4" s="20" t="s">
        <v>27</v>
      </c>
      <c r="K4" s="6" t="s">
        <v>568</v>
      </c>
      <c r="L4" s="25"/>
      <c r="M4" s="25" t="s">
        <v>573</v>
      </c>
      <c r="N4" s="6"/>
      <c r="O4" s="6" t="s">
        <v>113</v>
      </c>
      <c r="P4" s="6">
        <v>155</v>
      </c>
      <c r="Q4" s="6">
        <v>43</v>
      </c>
      <c r="R4" s="26">
        <v>76</v>
      </c>
      <c r="S4" s="26"/>
      <c r="T4" s="26"/>
      <c r="U4" s="26"/>
      <c r="V4" s="6" t="s">
        <v>574</v>
      </c>
    </row>
    <row r="5" spans="1:22" s="4" customFormat="1">
      <c r="A5" s="17">
        <v>188</v>
      </c>
      <c r="B5" s="27">
        <v>46063</v>
      </c>
      <c r="C5" s="6" t="s">
        <v>575</v>
      </c>
      <c r="D5" s="6"/>
      <c r="E5" s="6" t="s">
        <v>40</v>
      </c>
      <c r="F5" s="33">
        <v>22743</v>
      </c>
      <c r="G5" s="21">
        <f>YEAR(F5)</f>
        <v>1962</v>
      </c>
      <c r="H5" s="22">
        <f t="shared" si="0"/>
        <v>64</v>
      </c>
      <c r="I5" s="23"/>
      <c r="J5" s="20" t="s">
        <v>27</v>
      </c>
      <c r="K5" s="6" t="s">
        <v>568</v>
      </c>
      <c r="L5" s="6"/>
      <c r="M5" s="25" t="s">
        <v>576</v>
      </c>
      <c r="N5" s="6"/>
      <c r="O5" s="6" t="s">
        <v>284</v>
      </c>
      <c r="P5" s="6">
        <v>151</v>
      </c>
      <c r="Q5" s="6">
        <v>51</v>
      </c>
      <c r="R5" s="26">
        <v>80</v>
      </c>
      <c r="S5" s="26"/>
      <c r="T5" s="26"/>
      <c r="U5" s="26"/>
      <c r="V5" s="6" t="s">
        <v>577</v>
      </c>
    </row>
    <row r="6" spans="1:22" s="4" customFormat="1">
      <c r="A6" s="20">
        <v>189</v>
      </c>
      <c r="B6" s="27">
        <v>46063</v>
      </c>
      <c r="C6" s="6" t="s">
        <v>578</v>
      </c>
      <c r="D6" s="6"/>
      <c r="E6" s="6" t="s">
        <v>40</v>
      </c>
      <c r="F6" s="33" t="s">
        <v>579</v>
      </c>
      <c r="G6" s="21" t="str">
        <f>RIGHT(F6,4)</f>
        <v>1965</v>
      </c>
      <c r="H6" s="22">
        <f t="shared" si="0"/>
        <v>61</v>
      </c>
      <c r="I6" s="23" t="s">
        <v>27</v>
      </c>
      <c r="J6" s="20"/>
      <c r="K6" s="6" t="s">
        <v>568</v>
      </c>
      <c r="L6" s="6"/>
      <c r="M6" s="25" t="s">
        <v>580</v>
      </c>
      <c r="N6" s="6"/>
      <c r="O6" s="6" t="s">
        <v>34</v>
      </c>
      <c r="P6" s="6">
        <v>160</v>
      </c>
      <c r="Q6" s="6">
        <v>50</v>
      </c>
      <c r="R6" s="26">
        <v>72</v>
      </c>
      <c r="S6" s="26"/>
      <c r="T6" s="26"/>
      <c r="U6" s="26"/>
      <c r="V6" s="6" t="s">
        <v>581</v>
      </c>
    </row>
    <row r="7" spans="1:22" s="4" customFormat="1">
      <c r="A7" s="17">
        <v>190</v>
      </c>
      <c r="B7" s="27">
        <v>46063</v>
      </c>
      <c r="C7" s="6" t="s">
        <v>582</v>
      </c>
      <c r="D7" s="6"/>
      <c r="E7" s="6" t="s">
        <v>40</v>
      </c>
      <c r="F7" s="33" t="s">
        <v>583</v>
      </c>
      <c r="G7" s="21" t="str">
        <f>RIGHT(F7,4)</f>
        <v>1957</v>
      </c>
      <c r="H7" s="22">
        <f t="shared" si="0"/>
        <v>69</v>
      </c>
      <c r="I7" s="23" t="s">
        <v>27</v>
      </c>
      <c r="J7" s="20"/>
      <c r="K7" s="6" t="s">
        <v>568</v>
      </c>
      <c r="L7" s="6"/>
      <c r="M7" s="25" t="s">
        <v>584</v>
      </c>
      <c r="N7" s="6"/>
      <c r="O7" s="6" t="s">
        <v>333</v>
      </c>
      <c r="P7" s="6">
        <v>160</v>
      </c>
      <c r="Q7" s="6">
        <v>55</v>
      </c>
      <c r="R7" s="26">
        <v>80</v>
      </c>
      <c r="S7" s="26"/>
      <c r="T7" s="26"/>
      <c r="U7" s="26"/>
      <c r="V7" s="6" t="s">
        <v>585</v>
      </c>
    </row>
    <row r="8" spans="1:22" s="4" customFormat="1" hidden="1">
      <c r="A8" s="20">
        <v>191</v>
      </c>
      <c r="B8" s="27">
        <v>46063</v>
      </c>
      <c r="C8" s="6" t="s">
        <v>586</v>
      </c>
      <c r="D8" s="6"/>
      <c r="E8" s="6" t="s">
        <v>2374</v>
      </c>
      <c r="F8" s="33">
        <v>26792</v>
      </c>
      <c r="G8" s="21">
        <f>YEAR(F8)</f>
        <v>1973</v>
      </c>
      <c r="H8" s="22">
        <f t="shared" si="0"/>
        <v>53</v>
      </c>
      <c r="I8" s="23" t="s">
        <v>27</v>
      </c>
      <c r="J8" s="20"/>
      <c r="K8" s="6" t="s">
        <v>568</v>
      </c>
      <c r="L8" s="25"/>
      <c r="M8" s="25" t="s">
        <v>587</v>
      </c>
      <c r="N8" s="6"/>
      <c r="O8" s="6" t="s">
        <v>284</v>
      </c>
      <c r="P8" s="6">
        <v>165</v>
      </c>
      <c r="Q8" s="6">
        <v>64</v>
      </c>
      <c r="R8" s="26">
        <v>78</v>
      </c>
      <c r="S8" s="26"/>
      <c r="T8" s="26"/>
      <c r="U8" s="26"/>
      <c r="V8" s="6" t="s">
        <v>588</v>
      </c>
    </row>
    <row r="9" spans="1:22" s="4" customFormat="1" hidden="1">
      <c r="A9" s="17">
        <v>192</v>
      </c>
      <c r="B9" s="27">
        <v>46063</v>
      </c>
      <c r="C9" s="6" t="s">
        <v>589</v>
      </c>
      <c r="D9" s="6"/>
      <c r="E9" s="6" t="s">
        <v>2374</v>
      </c>
      <c r="F9" s="33">
        <v>25938</v>
      </c>
      <c r="G9" s="21">
        <f>YEAR(F9)</f>
        <v>1971</v>
      </c>
      <c r="H9" s="22">
        <f t="shared" si="0"/>
        <v>55</v>
      </c>
      <c r="I9" s="23"/>
      <c r="J9" s="20" t="s">
        <v>27</v>
      </c>
      <c r="K9" s="6" t="s">
        <v>568</v>
      </c>
      <c r="L9" s="25"/>
      <c r="M9" s="25" t="s">
        <v>590</v>
      </c>
      <c r="N9" s="6"/>
      <c r="O9" s="6" t="s">
        <v>146</v>
      </c>
      <c r="P9" s="6">
        <v>157</v>
      </c>
      <c r="Q9" s="6">
        <v>50</v>
      </c>
      <c r="R9" s="26">
        <v>78</v>
      </c>
      <c r="S9" s="26"/>
      <c r="T9" s="26"/>
      <c r="U9" s="26"/>
      <c r="V9" s="6" t="s">
        <v>591</v>
      </c>
    </row>
    <row r="10" spans="1:22" s="4" customFormat="1">
      <c r="A10" s="20">
        <v>193</v>
      </c>
      <c r="B10" s="27">
        <v>46063</v>
      </c>
      <c r="C10" s="6" t="s">
        <v>592</v>
      </c>
      <c r="D10" s="6"/>
      <c r="E10" s="6" t="s">
        <v>40</v>
      </c>
      <c r="F10" s="33">
        <v>20000</v>
      </c>
      <c r="G10" s="21">
        <f>YEAR(F10)</f>
        <v>1954</v>
      </c>
      <c r="H10" s="22">
        <f t="shared" si="0"/>
        <v>72</v>
      </c>
      <c r="I10" s="23"/>
      <c r="J10" s="20" t="s">
        <v>27</v>
      </c>
      <c r="K10" s="6" t="s">
        <v>568</v>
      </c>
      <c r="L10" s="25"/>
      <c r="M10" s="25" t="s">
        <v>593</v>
      </c>
      <c r="N10" s="6"/>
      <c r="O10" s="6" t="s">
        <v>87</v>
      </c>
      <c r="P10" s="6">
        <v>151</v>
      </c>
      <c r="Q10" s="6">
        <v>40</v>
      </c>
      <c r="R10" s="26">
        <v>76</v>
      </c>
      <c r="S10" s="26"/>
      <c r="T10" s="26"/>
      <c r="U10" s="26"/>
      <c r="V10" s="6" t="s">
        <v>594</v>
      </c>
    </row>
    <row r="11" spans="1:22" s="4" customFormat="1" hidden="1">
      <c r="A11" s="17">
        <v>194</v>
      </c>
      <c r="B11" s="27">
        <v>46063</v>
      </c>
      <c r="C11" s="6" t="s">
        <v>67</v>
      </c>
      <c r="D11" s="6"/>
      <c r="E11" s="6" t="s">
        <v>2374</v>
      </c>
      <c r="F11" s="33" t="s">
        <v>595</v>
      </c>
      <c r="G11" s="21" t="str">
        <f>RIGHT(F11,4)</f>
        <v>1977</v>
      </c>
      <c r="H11" s="22">
        <f t="shared" si="0"/>
        <v>49</v>
      </c>
      <c r="I11" s="23"/>
      <c r="J11" s="20" t="s">
        <v>27</v>
      </c>
      <c r="K11" s="6" t="s">
        <v>596</v>
      </c>
      <c r="L11" s="25"/>
      <c r="M11" s="25" t="s">
        <v>597</v>
      </c>
      <c r="N11" s="6"/>
      <c r="O11" s="6" t="s">
        <v>280</v>
      </c>
      <c r="P11" s="6">
        <v>155</v>
      </c>
      <c r="Q11" s="6">
        <v>52</v>
      </c>
      <c r="R11" s="26">
        <v>80</v>
      </c>
      <c r="S11" s="26"/>
      <c r="T11" s="26"/>
      <c r="U11" s="26"/>
      <c r="V11" s="6" t="s">
        <v>598</v>
      </c>
    </row>
    <row r="12" spans="1:22" s="4" customFormat="1" hidden="1">
      <c r="A12" s="20">
        <v>195</v>
      </c>
      <c r="B12" s="27">
        <v>46063</v>
      </c>
      <c r="C12" s="6" t="s">
        <v>599</v>
      </c>
      <c r="D12" s="6"/>
      <c r="E12" s="6" t="s">
        <v>2374</v>
      </c>
      <c r="F12" s="33">
        <v>28187</v>
      </c>
      <c r="G12" s="21">
        <f>YEAR(F12)</f>
        <v>1977</v>
      </c>
      <c r="H12" s="22">
        <f t="shared" si="0"/>
        <v>49</v>
      </c>
      <c r="I12" s="23"/>
      <c r="J12" s="20" t="s">
        <v>27</v>
      </c>
      <c r="K12" s="6" t="s">
        <v>596</v>
      </c>
      <c r="L12" s="25"/>
      <c r="M12" s="25" t="s">
        <v>600</v>
      </c>
      <c r="N12" s="6"/>
      <c r="O12" s="6" t="s">
        <v>87</v>
      </c>
      <c r="P12" s="6">
        <v>150</v>
      </c>
      <c r="Q12" s="6">
        <v>50</v>
      </c>
      <c r="R12" s="26">
        <v>77</v>
      </c>
      <c r="S12" s="26"/>
      <c r="T12" s="26"/>
      <c r="U12" s="26"/>
      <c r="V12" s="6" t="s">
        <v>598</v>
      </c>
    </row>
    <row r="13" spans="1:22" s="4" customFormat="1" hidden="1">
      <c r="A13" s="17">
        <v>196</v>
      </c>
      <c r="B13" s="27">
        <v>46063</v>
      </c>
      <c r="C13" s="6" t="s">
        <v>601</v>
      </c>
      <c r="D13" s="6"/>
      <c r="E13" s="6" t="s">
        <v>2374</v>
      </c>
      <c r="F13" s="33" t="s">
        <v>602</v>
      </c>
      <c r="G13" s="21" t="str">
        <f>RIGHT(F13,4)</f>
        <v>1975</v>
      </c>
      <c r="H13" s="22">
        <f t="shared" si="0"/>
        <v>51</v>
      </c>
      <c r="I13" s="23"/>
      <c r="J13" s="20" t="s">
        <v>27</v>
      </c>
      <c r="K13" s="6" t="s">
        <v>596</v>
      </c>
      <c r="L13" s="25"/>
      <c r="M13" s="25" t="s">
        <v>603</v>
      </c>
      <c r="N13" s="6"/>
      <c r="O13" s="6" t="s">
        <v>60</v>
      </c>
      <c r="P13" s="6">
        <v>156</v>
      </c>
      <c r="Q13" s="6">
        <v>48</v>
      </c>
      <c r="R13" s="26">
        <v>77</v>
      </c>
      <c r="S13" s="26"/>
      <c r="T13" s="26"/>
      <c r="U13" s="26"/>
      <c r="V13" s="6" t="s">
        <v>604</v>
      </c>
    </row>
    <row r="14" spans="1:22" s="4" customFormat="1" hidden="1">
      <c r="A14" s="20">
        <v>197</v>
      </c>
      <c r="B14" s="27">
        <v>46063</v>
      </c>
      <c r="C14" s="6" t="s">
        <v>605</v>
      </c>
      <c r="D14" s="6"/>
      <c r="E14" s="6" t="s">
        <v>2374</v>
      </c>
      <c r="F14" s="33">
        <v>27730</v>
      </c>
      <c r="G14" s="21">
        <f>YEAR(F14)</f>
        <v>1975</v>
      </c>
      <c r="H14" s="22">
        <f t="shared" si="0"/>
        <v>51</v>
      </c>
      <c r="I14" s="23"/>
      <c r="J14" s="20" t="s">
        <v>27</v>
      </c>
      <c r="K14" s="6" t="s">
        <v>596</v>
      </c>
      <c r="L14" s="25"/>
      <c r="M14" s="25" t="s">
        <v>606</v>
      </c>
      <c r="N14" s="6"/>
      <c r="O14" s="6"/>
      <c r="P14" s="6"/>
      <c r="Q14" s="6"/>
      <c r="R14" s="26"/>
      <c r="S14" s="26"/>
      <c r="T14" s="26"/>
      <c r="U14" s="26"/>
      <c r="V14" s="6" t="s">
        <v>607</v>
      </c>
    </row>
    <row r="15" spans="1:22" s="4" customFormat="1" hidden="1">
      <c r="A15" s="17">
        <v>198</v>
      </c>
      <c r="B15" s="27">
        <v>46063</v>
      </c>
      <c r="C15" s="6" t="s">
        <v>608</v>
      </c>
      <c r="D15" s="6"/>
      <c r="E15" s="6" t="s">
        <v>609</v>
      </c>
      <c r="F15" s="33">
        <v>27979</v>
      </c>
      <c r="G15" s="21">
        <f>YEAR(F15)</f>
        <v>1976</v>
      </c>
      <c r="H15" s="22">
        <f t="shared" si="0"/>
        <v>50</v>
      </c>
      <c r="I15" s="23"/>
      <c r="J15" s="20" t="s">
        <v>27</v>
      </c>
      <c r="K15" s="6" t="s">
        <v>534</v>
      </c>
      <c r="L15" s="25"/>
      <c r="M15" s="25" t="s">
        <v>610</v>
      </c>
      <c r="N15" s="6"/>
      <c r="O15" s="6" t="s">
        <v>570</v>
      </c>
      <c r="P15" s="6">
        <v>160</v>
      </c>
      <c r="Q15" s="6">
        <v>72</v>
      </c>
      <c r="R15" s="26">
        <v>82</v>
      </c>
      <c r="S15" s="26"/>
      <c r="T15" s="26"/>
      <c r="U15" s="26"/>
      <c r="V15" s="6" t="s">
        <v>611</v>
      </c>
    </row>
    <row r="16" spans="1:22" s="4" customFormat="1" hidden="1">
      <c r="A16" s="20">
        <v>199</v>
      </c>
      <c r="B16" s="27">
        <v>46063</v>
      </c>
      <c r="C16" s="6" t="s">
        <v>612</v>
      </c>
      <c r="D16" s="6"/>
      <c r="E16" s="6" t="s">
        <v>2374</v>
      </c>
      <c r="F16" s="33">
        <v>27039</v>
      </c>
      <c r="G16" s="21">
        <f>YEAR(F16)</f>
        <v>1974</v>
      </c>
      <c r="H16" s="22">
        <f t="shared" si="0"/>
        <v>52</v>
      </c>
      <c r="I16" s="23"/>
      <c r="J16" s="20" t="s">
        <v>27</v>
      </c>
      <c r="K16" s="6" t="s">
        <v>534</v>
      </c>
      <c r="L16" s="25"/>
      <c r="M16" s="25" t="s">
        <v>613</v>
      </c>
      <c r="N16" s="6"/>
      <c r="O16" s="6" t="s">
        <v>309</v>
      </c>
      <c r="P16" s="6">
        <v>160</v>
      </c>
      <c r="Q16" s="6">
        <v>58</v>
      </c>
      <c r="R16" s="26">
        <v>76</v>
      </c>
      <c r="S16" s="26"/>
      <c r="T16" s="26"/>
      <c r="U16" s="26"/>
      <c r="V16" s="6" t="s">
        <v>614</v>
      </c>
    </row>
    <row r="17" spans="1:22" s="4" customFormat="1" hidden="1">
      <c r="A17" s="17">
        <v>200</v>
      </c>
      <c r="B17" s="27">
        <v>46063</v>
      </c>
      <c r="C17" s="6" t="s">
        <v>615</v>
      </c>
      <c r="D17" s="6"/>
      <c r="E17" s="6" t="s">
        <v>2374</v>
      </c>
      <c r="F17" s="33">
        <v>25694</v>
      </c>
      <c r="G17" s="21">
        <f>YEAR(F17)</f>
        <v>1970</v>
      </c>
      <c r="H17" s="22">
        <f t="shared" si="0"/>
        <v>56</v>
      </c>
      <c r="I17" s="23"/>
      <c r="J17" s="20" t="s">
        <v>27</v>
      </c>
      <c r="K17" s="6" t="s">
        <v>534</v>
      </c>
      <c r="L17" s="25"/>
      <c r="M17" s="25" t="s">
        <v>616</v>
      </c>
      <c r="N17" s="6"/>
      <c r="O17" s="6" t="s">
        <v>87</v>
      </c>
      <c r="P17" s="6">
        <v>160</v>
      </c>
      <c r="Q17" s="6">
        <v>60</v>
      </c>
      <c r="R17" s="26">
        <v>80</v>
      </c>
      <c r="S17" s="26"/>
      <c r="T17" s="26"/>
      <c r="U17" s="26"/>
      <c r="V17" s="6" t="s">
        <v>617</v>
      </c>
    </row>
    <row r="18" spans="1:22" s="4" customFormat="1" hidden="1">
      <c r="A18" s="20">
        <v>201</v>
      </c>
      <c r="B18" s="27">
        <v>46063</v>
      </c>
      <c r="C18" s="6" t="s">
        <v>105</v>
      </c>
      <c r="D18" s="6"/>
      <c r="E18" s="6" t="s">
        <v>2374</v>
      </c>
      <c r="F18" s="33" t="s">
        <v>618</v>
      </c>
      <c r="G18" s="21" t="str">
        <f>RIGHT(F18,4)</f>
        <v>1977</v>
      </c>
      <c r="H18" s="22">
        <f t="shared" si="0"/>
        <v>49</v>
      </c>
      <c r="I18" s="23"/>
      <c r="J18" s="20" t="s">
        <v>27</v>
      </c>
      <c r="K18" s="6" t="s">
        <v>534</v>
      </c>
      <c r="L18" s="25"/>
      <c r="M18" s="25" t="s">
        <v>619</v>
      </c>
      <c r="N18" s="6"/>
      <c r="O18" s="6" t="s">
        <v>60</v>
      </c>
      <c r="P18" s="6">
        <v>155</v>
      </c>
      <c r="Q18" s="6">
        <v>55</v>
      </c>
      <c r="R18" s="26">
        <v>80</v>
      </c>
      <c r="S18" s="26"/>
      <c r="T18" s="26"/>
      <c r="U18" s="26"/>
      <c r="V18" s="6" t="s">
        <v>620</v>
      </c>
    </row>
    <row r="19" spans="1:22" s="4" customFormat="1">
      <c r="A19" s="17">
        <v>202</v>
      </c>
      <c r="B19" s="27">
        <v>46063</v>
      </c>
      <c r="C19" s="6" t="s">
        <v>621</v>
      </c>
      <c r="D19" s="6"/>
      <c r="E19" s="6" t="s">
        <v>40</v>
      </c>
      <c r="F19" s="33">
        <v>21497</v>
      </c>
      <c r="G19" s="21">
        <f>YEAR(F19)</f>
        <v>1958</v>
      </c>
      <c r="H19" s="22">
        <f t="shared" si="0"/>
        <v>68</v>
      </c>
      <c r="I19" s="23"/>
      <c r="J19" s="20" t="s">
        <v>27</v>
      </c>
      <c r="K19" s="6" t="s">
        <v>534</v>
      </c>
      <c r="L19" s="25"/>
      <c r="M19" s="25" t="s">
        <v>622</v>
      </c>
      <c r="N19" s="6"/>
      <c r="O19" s="6" t="s">
        <v>34</v>
      </c>
      <c r="P19" s="6">
        <v>160</v>
      </c>
      <c r="Q19" s="6">
        <v>55</v>
      </c>
      <c r="R19" s="26">
        <v>80</v>
      </c>
      <c r="S19" s="26"/>
      <c r="T19" s="26"/>
      <c r="U19" s="26"/>
      <c r="V19" s="6" t="s">
        <v>623</v>
      </c>
    </row>
    <row r="20" spans="1:22" s="4" customFormat="1" hidden="1">
      <c r="A20" s="20">
        <v>203</v>
      </c>
      <c r="B20" s="27">
        <v>46063</v>
      </c>
      <c r="C20" s="6" t="s">
        <v>624</v>
      </c>
      <c r="D20" s="6"/>
      <c r="E20" s="6" t="s">
        <v>2374</v>
      </c>
      <c r="F20" s="33">
        <v>26299</v>
      </c>
      <c r="G20" s="21">
        <f>YEAR(F20)</f>
        <v>1972</v>
      </c>
      <c r="H20" s="22">
        <f t="shared" si="0"/>
        <v>54</v>
      </c>
      <c r="I20" s="23"/>
      <c r="J20" s="20" t="s">
        <v>27</v>
      </c>
      <c r="K20" s="6" t="s">
        <v>534</v>
      </c>
      <c r="L20" s="25"/>
      <c r="M20" s="25" t="s">
        <v>625</v>
      </c>
      <c r="N20" s="6"/>
      <c r="O20" s="6" t="s">
        <v>626</v>
      </c>
      <c r="P20" s="6">
        <v>150</v>
      </c>
      <c r="Q20" s="6">
        <v>45</v>
      </c>
      <c r="R20" s="26">
        <v>55</v>
      </c>
      <c r="S20" s="26"/>
      <c r="T20" s="26"/>
      <c r="U20" s="26"/>
      <c r="V20" s="6" t="s">
        <v>627</v>
      </c>
    </row>
    <row r="21" spans="1:22" s="4" customFormat="1">
      <c r="A21" s="17">
        <v>204</v>
      </c>
      <c r="B21" s="27">
        <v>46063</v>
      </c>
      <c r="C21" s="6" t="s">
        <v>628</v>
      </c>
      <c r="D21" s="6"/>
      <c r="E21" s="6" t="s">
        <v>40</v>
      </c>
      <c r="F21" s="33">
        <v>21948</v>
      </c>
      <c r="G21" s="21">
        <f>YEAR(F21)</f>
        <v>1960</v>
      </c>
      <c r="H21" s="22">
        <f t="shared" si="0"/>
        <v>66</v>
      </c>
      <c r="I21" s="23"/>
      <c r="J21" s="20" t="s">
        <v>27</v>
      </c>
      <c r="K21" s="6" t="s">
        <v>596</v>
      </c>
      <c r="L21" s="25"/>
      <c r="M21" s="25" t="s">
        <v>629</v>
      </c>
      <c r="N21" s="6"/>
      <c r="O21" s="6" t="s">
        <v>630</v>
      </c>
      <c r="P21" s="6">
        <v>159</v>
      </c>
      <c r="Q21" s="6">
        <v>59</v>
      </c>
      <c r="R21" s="26">
        <v>89</v>
      </c>
      <c r="S21" s="26"/>
      <c r="T21" s="26"/>
      <c r="U21" s="26"/>
      <c r="V21" s="6" t="s">
        <v>631</v>
      </c>
    </row>
    <row r="22" spans="1:22" s="4" customFormat="1" hidden="1">
      <c r="A22" s="20">
        <v>205</v>
      </c>
      <c r="B22" s="27">
        <v>46063</v>
      </c>
      <c r="C22" s="6" t="s">
        <v>632</v>
      </c>
      <c r="D22" s="6"/>
      <c r="E22" s="6" t="s">
        <v>2374</v>
      </c>
      <c r="F22" s="33">
        <v>33245</v>
      </c>
      <c r="G22" s="21">
        <f>YEAR(F22)</f>
        <v>1991</v>
      </c>
      <c r="H22" s="22">
        <f t="shared" si="0"/>
        <v>35</v>
      </c>
      <c r="I22" s="23" t="s">
        <v>27</v>
      </c>
      <c r="J22" s="20"/>
      <c r="K22" s="6" t="s">
        <v>534</v>
      </c>
      <c r="L22" s="25"/>
      <c r="M22" s="25" t="s">
        <v>633</v>
      </c>
      <c r="N22" s="6"/>
      <c r="O22" s="6" t="s">
        <v>634</v>
      </c>
      <c r="P22" s="6">
        <v>170</v>
      </c>
      <c r="Q22" s="6">
        <v>60</v>
      </c>
      <c r="R22" s="26">
        <v>80</v>
      </c>
      <c r="S22" s="26"/>
      <c r="T22" s="26"/>
      <c r="U22" s="26"/>
      <c r="V22" s="6" t="s">
        <v>604</v>
      </c>
    </row>
    <row r="23" spans="1:22" s="4" customFormat="1" hidden="1">
      <c r="A23" s="17">
        <v>206</v>
      </c>
      <c r="B23" s="27">
        <v>46063</v>
      </c>
      <c r="C23" s="6" t="s">
        <v>635</v>
      </c>
      <c r="D23" s="6"/>
      <c r="E23" s="6" t="s">
        <v>2374</v>
      </c>
      <c r="F23" s="33" t="s">
        <v>636</v>
      </c>
      <c r="G23" s="21" t="str">
        <f>RIGHT(F23,4)</f>
        <v>1975</v>
      </c>
      <c r="H23" s="22">
        <f t="shared" si="0"/>
        <v>51</v>
      </c>
      <c r="I23" s="23"/>
      <c r="J23" s="20" t="s">
        <v>27</v>
      </c>
      <c r="K23" s="6" t="s">
        <v>596</v>
      </c>
      <c r="L23" s="25"/>
      <c r="M23" s="25" t="s">
        <v>637</v>
      </c>
      <c r="N23" s="6"/>
      <c r="O23" s="6" t="s">
        <v>87</v>
      </c>
      <c r="P23" s="6">
        <v>150</v>
      </c>
      <c r="Q23" s="6">
        <v>50</v>
      </c>
      <c r="R23" s="26">
        <v>85</v>
      </c>
      <c r="S23" s="26"/>
      <c r="T23" s="26"/>
      <c r="U23" s="26"/>
      <c r="V23" s="6" t="s">
        <v>604</v>
      </c>
    </row>
    <row r="24" spans="1:22" s="4" customFormat="1" hidden="1">
      <c r="A24" s="20">
        <v>207</v>
      </c>
      <c r="B24" s="27">
        <v>46063</v>
      </c>
      <c r="C24" s="6" t="s">
        <v>638</v>
      </c>
      <c r="D24" s="6"/>
      <c r="E24" s="6" t="s">
        <v>2374</v>
      </c>
      <c r="F24" s="33">
        <v>27031</v>
      </c>
      <c r="G24" s="21">
        <f>YEAR(F24)</f>
        <v>1974</v>
      </c>
      <c r="H24" s="22">
        <f t="shared" si="0"/>
        <v>52</v>
      </c>
      <c r="I24" s="23"/>
      <c r="J24" s="20" t="s">
        <v>27</v>
      </c>
      <c r="K24" s="6" t="s">
        <v>596</v>
      </c>
      <c r="L24" s="25"/>
      <c r="M24" s="25" t="s">
        <v>639</v>
      </c>
      <c r="N24" s="6"/>
      <c r="O24" s="6" t="s">
        <v>149</v>
      </c>
      <c r="P24" s="6">
        <v>158</v>
      </c>
      <c r="Q24" s="6">
        <v>50</v>
      </c>
      <c r="R24" s="26">
        <v>85</v>
      </c>
      <c r="S24" s="26"/>
      <c r="T24" s="26"/>
      <c r="U24" s="26"/>
      <c r="V24" s="6" t="s">
        <v>640</v>
      </c>
    </row>
    <row r="25" spans="1:22" s="4" customFormat="1">
      <c r="A25" s="17">
        <v>208</v>
      </c>
      <c r="B25" s="27">
        <v>46063</v>
      </c>
      <c r="C25" s="6" t="s">
        <v>641</v>
      </c>
      <c r="D25" s="6"/>
      <c r="E25" s="6" t="s">
        <v>40</v>
      </c>
      <c r="F25" s="33">
        <v>23872</v>
      </c>
      <c r="G25" s="21">
        <f>YEAR(F25)</f>
        <v>1965</v>
      </c>
      <c r="H25" s="22">
        <f t="shared" si="0"/>
        <v>61</v>
      </c>
      <c r="I25" s="23"/>
      <c r="J25" s="20" t="s">
        <v>27</v>
      </c>
      <c r="K25" s="6" t="s">
        <v>596</v>
      </c>
      <c r="L25" s="25"/>
      <c r="M25" s="25" t="s">
        <v>642</v>
      </c>
      <c r="N25" s="6"/>
      <c r="O25" s="6" t="s">
        <v>309</v>
      </c>
      <c r="P25" s="6">
        <v>150</v>
      </c>
      <c r="Q25" s="6">
        <v>48</v>
      </c>
      <c r="R25" s="26">
        <v>89</v>
      </c>
      <c r="S25" s="26"/>
      <c r="T25" s="26"/>
      <c r="U25" s="26"/>
      <c r="V25" s="6" t="s">
        <v>643</v>
      </c>
    </row>
    <row r="26" spans="1:22" s="4" customFormat="1" hidden="1">
      <c r="A26" s="20">
        <v>209</v>
      </c>
      <c r="B26" s="27">
        <v>46063</v>
      </c>
      <c r="C26" s="6" t="s">
        <v>644</v>
      </c>
      <c r="D26" s="6"/>
      <c r="E26" s="6" t="s">
        <v>2374</v>
      </c>
      <c r="F26" s="33" t="s">
        <v>645</v>
      </c>
      <c r="G26" s="21" t="str">
        <f>RIGHT(F26,4)</f>
        <v>1983</v>
      </c>
      <c r="H26" s="22">
        <f t="shared" si="0"/>
        <v>43</v>
      </c>
      <c r="I26" s="23"/>
      <c r="J26" s="20" t="s">
        <v>27</v>
      </c>
      <c r="K26" s="6" t="s">
        <v>596</v>
      </c>
      <c r="L26" s="25"/>
      <c r="M26" s="25" t="s">
        <v>646</v>
      </c>
      <c r="N26" s="6"/>
      <c r="O26" s="6" t="s">
        <v>647</v>
      </c>
      <c r="P26" s="6"/>
      <c r="Q26" s="6"/>
      <c r="R26" s="26">
        <v>93</v>
      </c>
      <c r="S26" s="26"/>
      <c r="T26" s="26"/>
      <c r="U26" s="26"/>
      <c r="V26" s="6" t="s">
        <v>648</v>
      </c>
    </row>
    <row r="27" spans="1:22" s="4" customFormat="1" hidden="1">
      <c r="A27" s="17">
        <v>210</v>
      </c>
      <c r="B27" s="27">
        <v>46063</v>
      </c>
      <c r="C27" s="6" t="s">
        <v>649</v>
      </c>
      <c r="D27" s="6"/>
      <c r="E27" s="6" t="s">
        <v>2374</v>
      </c>
      <c r="F27" s="33">
        <v>25882</v>
      </c>
      <c r="G27" s="21">
        <f>YEAR(F27)</f>
        <v>1970</v>
      </c>
      <c r="H27" s="22">
        <f t="shared" si="0"/>
        <v>56</v>
      </c>
      <c r="I27" s="23"/>
      <c r="J27" s="20" t="s">
        <v>27</v>
      </c>
      <c r="K27" s="6" t="s">
        <v>596</v>
      </c>
      <c r="L27" s="25"/>
      <c r="M27" s="25" t="s">
        <v>650</v>
      </c>
      <c r="N27" s="6"/>
      <c r="O27" s="6" t="s">
        <v>651</v>
      </c>
      <c r="P27" s="6">
        <v>152</v>
      </c>
      <c r="Q27" s="6">
        <v>44</v>
      </c>
      <c r="R27" s="26">
        <v>70</v>
      </c>
      <c r="S27" s="26"/>
      <c r="T27" s="26"/>
      <c r="U27" s="26"/>
      <c r="V27" s="6" t="s">
        <v>652</v>
      </c>
    </row>
    <row r="28" spans="1:22" s="4" customFormat="1">
      <c r="A28" s="20">
        <v>211</v>
      </c>
      <c r="B28" s="27">
        <v>46063</v>
      </c>
      <c r="C28" s="6" t="s">
        <v>653</v>
      </c>
      <c r="D28" s="6"/>
      <c r="E28" s="6" t="s">
        <v>40</v>
      </c>
      <c r="F28" s="33">
        <v>18541</v>
      </c>
      <c r="G28" s="21">
        <f>YEAR(F28)</f>
        <v>1950</v>
      </c>
      <c r="H28" s="22">
        <f t="shared" si="0"/>
        <v>76</v>
      </c>
      <c r="I28" s="23"/>
      <c r="J28" s="20" t="s">
        <v>27</v>
      </c>
      <c r="K28" s="6" t="s">
        <v>596</v>
      </c>
      <c r="L28" s="25"/>
      <c r="M28" s="25" t="s">
        <v>654</v>
      </c>
      <c r="N28" s="6"/>
      <c r="O28" s="6" t="s">
        <v>389</v>
      </c>
      <c r="P28" s="6"/>
      <c r="Q28" s="6"/>
      <c r="R28" s="26">
        <v>90</v>
      </c>
      <c r="S28" s="26"/>
      <c r="T28" s="26"/>
      <c r="U28" s="26"/>
      <c r="V28" s="6" t="s">
        <v>655</v>
      </c>
    </row>
    <row r="29" spans="1:22" s="4" customFormat="1">
      <c r="A29" s="17">
        <v>212</v>
      </c>
      <c r="B29" s="27">
        <v>46063</v>
      </c>
      <c r="C29" s="6" t="s">
        <v>656</v>
      </c>
      <c r="D29" s="6"/>
      <c r="E29" s="6" t="s">
        <v>40</v>
      </c>
      <c r="F29" s="33">
        <v>11324</v>
      </c>
      <c r="G29" s="21">
        <f>YEAR(F29)</f>
        <v>1931</v>
      </c>
      <c r="H29" s="22">
        <f t="shared" si="0"/>
        <v>95</v>
      </c>
      <c r="I29" s="23"/>
      <c r="J29" s="20" t="s">
        <v>27</v>
      </c>
      <c r="K29" s="6" t="s">
        <v>596</v>
      </c>
      <c r="L29" s="25"/>
      <c r="M29" s="25" t="s">
        <v>657</v>
      </c>
      <c r="N29" s="6"/>
      <c r="O29" s="6" t="s">
        <v>42</v>
      </c>
      <c r="P29" s="6"/>
      <c r="Q29" s="6"/>
      <c r="R29" s="26">
        <v>80</v>
      </c>
      <c r="S29" s="26"/>
      <c r="T29" s="26"/>
      <c r="U29" s="26"/>
      <c r="V29" s="6" t="s">
        <v>658</v>
      </c>
    </row>
    <row r="30" spans="1:22" s="4" customFormat="1" hidden="1">
      <c r="A30" s="20">
        <v>213</v>
      </c>
      <c r="B30" s="27">
        <v>46063</v>
      </c>
      <c r="C30" s="6" t="s">
        <v>659</v>
      </c>
      <c r="D30" s="6"/>
      <c r="E30" s="6" t="s">
        <v>2374</v>
      </c>
      <c r="F30" s="33">
        <v>25906</v>
      </c>
      <c r="G30" s="21">
        <f>YEAR(F30)</f>
        <v>1970</v>
      </c>
      <c r="H30" s="22">
        <f t="shared" si="0"/>
        <v>56</v>
      </c>
      <c r="I30" s="23"/>
      <c r="J30" s="20" t="s">
        <v>27</v>
      </c>
      <c r="K30" s="6" t="s">
        <v>596</v>
      </c>
      <c r="L30" s="25"/>
      <c r="M30" s="25" t="s">
        <v>660</v>
      </c>
      <c r="N30" s="6"/>
      <c r="O30" s="6" t="s">
        <v>661</v>
      </c>
      <c r="P30" s="6">
        <v>150</v>
      </c>
      <c r="Q30" s="6">
        <v>45</v>
      </c>
      <c r="R30" s="26">
        <v>88</v>
      </c>
      <c r="S30" s="26"/>
      <c r="T30" s="26"/>
      <c r="U30" s="26"/>
      <c r="V30" s="6" t="s">
        <v>662</v>
      </c>
    </row>
    <row r="31" spans="1:22" s="4" customFormat="1" hidden="1">
      <c r="A31" s="17">
        <v>214</v>
      </c>
      <c r="B31" s="27">
        <v>46063</v>
      </c>
      <c r="C31" s="6" t="s">
        <v>663</v>
      </c>
      <c r="D31" s="6"/>
      <c r="E31" s="6" t="s">
        <v>2374</v>
      </c>
      <c r="F31" s="33">
        <v>32789</v>
      </c>
      <c r="G31" s="21">
        <f>YEAR(F31)</f>
        <v>1989</v>
      </c>
      <c r="H31" s="22">
        <f t="shared" si="0"/>
        <v>37</v>
      </c>
      <c r="I31" s="23"/>
      <c r="J31" s="20" t="s">
        <v>27</v>
      </c>
      <c r="K31" s="6" t="s">
        <v>534</v>
      </c>
      <c r="L31" s="25"/>
      <c r="M31" s="25" t="s">
        <v>664</v>
      </c>
      <c r="N31" s="6"/>
      <c r="O31" s="6" t="s">
        <v>665</v>
      </c>
      <c r="P31" s="6">
        <v>160</v>
      </c>
      <c r="Q31" s="6">
        <v>52</v>
      </c>
      <c r="R31" s="26">
        <v>82</v>
      </c>
      <c r="S31" s="26"/>
      <c r="T31" s="26"/>
      <c r="U31" s="26"/>
      <c r="V31" s="6" t="s">
        <v>604</v>
      </c>
    </row>
    <row r="32" spans="1:22" s="4" customFormat="1" hidden="1">
      <c r="A32" s="20">
        <v>215</v>
      </c>
      <c r="B32" s="27">
        <v>46063</v>
      </c>
      <c r="C32" s="6" t="s">
        <v>666</v>
      </c>
      <c r="D32" s="6"/>
      <c r="E32" s="6" t="s">
        <v>2374</v>
      </c>
      <c r="F32" s="33" t="s">
        <v>667</v>
      </c>
      <c r="G32" s="21" t="str">
        <f>RIGHT(F32,4)</f>
        <v>1994</v>
      </c>
      <c r="H32" s="22">
        <f t="shared" si="0"/>
        <v>32</v>
      </c>
      <c r="I32" s="23" t="s">
        <v>27</v>
      </c>
      <c r="J32" s="20"/>
      <c r="K32" s="6" t="s">
        <v>596</v>
      </c>
      <c r="L32" s="25"/>
      <c r="M32" s="25" t="s">
        <v>668</v>
      </c>
      <c r="N32" s="6"/>
      <c r="O32" s="6" t="s">
        <v>34</v>
      </c>
      <c r="P32" s="6">
        <v>160</v>
      </c>
      <c r="Q32" s="6">
        <v>60</v>
      </c>
      <c r="R32" s="26">
        <v>100</v>
      </c>
      <c r="S32" s="26"/>
      <c r="T32" s="26"/>
      <c r="U32" s="26"/>
      <c r="V32" s="6" t="s">
        <v>669</v>
      </c>
    </row>
    <row r="33" spans="1:22" s="4" customFormat="1" hidden="1">
      <c r="A33" s="17">
        <v>216</v>
      </c>
      <c r="B33" s="27">
        <v>46063</v>
      </c>
      <c r="C33" s="6" t="s">
        <v>670</v>
      </c>
      <c r="D33" s="6"/>
      <c r="E33" s="6" t="s">
        <v>2374</v>
      </c>
      <c r="F33" s="33">
        <v>25204</v>
      </c>
      <c r="G33" s="21">
        <f>YEAR(F33)</f>
        <v>1969</v>
      </c>
      <c r="H33" s="22">
        <f t="shared" si="0"/>
        <v>57</v>
      </c>
      <c r="I33" s="23"/>
      <c r="J33" s="20" t="s">
        <v>27</v>
      </c>
      <c r="K33" s="6" t="s">
        <v>596</v>
      </c>
      <c r="L33" s="25"/>
      <c r="M33" s="25" t="s">
        <v>671</v>
      </c>
      <c r="N33" s="6"/>
      <c r="O33" s="6" t="s">
        <v>34</v>
      </c>
      <c r="P33" s="6">
        <v>164</v>
      </c>
      <c r="Q33" s="6">
        <v>60</v>
      </c>
      <c r="R33" s="26">
        <v>78</v>
      </c>
      <c r="S33" s="26"/>
      <c r="T33" s="26"/>
      <c r="U33" s="26"/>
      <c r="V33" s="6" t="s">
        <v>672</v>
      </c>
    </row>
    <row r="34" spans="1:22" s="4" customFormat="1">
      <c r="A34" s="20">
        <v>217</v>
      </c>
      <c r="B34" s="27">
        <v>46063</v>
      </c>
      <c r="C34" s="6" t="s">
        <v>490</v>
      </c>
      <c r="D34" s="6"/>
      <c r="E34" s="6" t="s">
        <v>40</v>
      </c>
      <c r="F34" s="33" t="s">
        <v>673</v>
      </c>
      <c r="G34" s="21" t="str">
        <f>RIGHT(F34,4)</f>
        <v>1956</v>
      </c>
      <c r="H34" s="22">
        <f t="shared" si="0"/>
        <v>70</v>
      </c>
      <c r="I34" s="23"/>
      <c r="J34" s="20" t="s">
        <v>27</v>
      </c>
      <c r="K34" s="6" t="s">
        <v>596</v>
      </c>
      <c r="L34" s="25"/>
      <c r="M34" s="25" t="s">
        <v>674</v>
      </c>
      <c r="N34" s="6"/>
      <c r="O34" s="6" t="s">
        <v>280</v>
      </c>
      <c r="P34" s="6">
        <v>160</v>
      </c>
      <c r="Q34" s="6">
        <v>38</v>
      </c>
      <c r="R34" s="26">
        <v>75</v>
      </c>
      <c r="S34" s="26"/>
      <c r="T34" s="26"/>
      <c r="U34" s="26"/>
      <c r="V34" s="6" t="s">
        <v>675</v>
      </c>
    </row>
    <row r="35" spans="1:22" s="4" customFormat="1" hidden="1">
      <c r="A35" s="17">
        <v>218</v>
      </c>
      <c r="B35" s="27">
        <v>46063</v>
      </c>
      <c r="C35" s="6" t="s">
        <v>676</v>
      </c>
      <c r="D35" s="6"/>
      <c r="E35" s="6" t="s">
        <v>2374</v>
      </c>
      <c r="F35" s="33">
        <v>29992</v>
      </c>
      <c r="G35" s="21">
        <f>YEAR(F35)</f>
        <v>1982</v>
      </c>
      <c r="H35" s="22">
        <f t="shared" si="0"/>
        <v>44</v>
      </c>
      <c r="I35" s="23" t="s">
        <v>27</v>
      </c>
      <c r="J35" s="20"/>
      <c r="K35" s="6" t="s">
        <v>596</v>
      </c>
      <c r="L35" s="25"/>
      <c r="M35" s="25" t="s">
        <v>677</v>
      </c>
      <c r="N35" s="6"/>
      <c r="O35" s="6" t="s">
        <v>678</v>
      </c>
      <c r="P35" s="6">
        <v>167</v>
      </c>
      <c r="Q35" s="6">
        <v>53</v>
      </c>
      <c r="R35" s="26">
        <v>90</v>
      </c>
      <c r="S35" s="26"/>
      <c r="T35" s="26"/>
      <c r="U35" s="26"/>
      <c r="V35" s="6" t="s">
        <v>679</v>
      </c>
    </row>
    <row r="36" spans="1:22" s="4" customFormat="1">
      <c r="A36" s="20">
        <v>219</v>
      </c>
      <c r="B36" s="27">
        <v>46063</v>
      </c>
      <c r="C36" s="6" t="s">
        <v>680</v>
      </c>
      <c r="D36" s="6"/>
      <c r="E36" s="6" t="s">
        <v>40</v>
      </c>
      <c r="F36" s="33">
        <v>16292</v>
      </c>
      <c r="G36" s="21">
        <f>YEAR(F36)</f>
        <v>1944</v>
      </c>
      <c r="H36" s="22">
        <f t="shared" si="0"/>
        <v>82</v>
      </c>
      <c r="I36" s="23"/>
      <c r="J36" s="20" t="s">
        <v>27</v>
      </c>
      <c r="K36" s="6" t="s">
        <v>568</v>
      </c>
      <c r="L36" s="25"/>
      <c r="M36" s="25" t="s">
        <v>681</v>
      </c>
      <c r="N36" s="6"/>
      <c r="O36" s="6" t="s">
        <v>34</v>
      </c>
      <c r="P36" s="6"/>
      <c r="Q36" s="6"/>
      <c r="R36" s="26"/>
      <c r="S36" s="26"/>
      <c r="T36" s="26"/>
      <c r="U36" s="26"/>
      <c r="V36" s="6" t="s">
        <v>682</v>
      </c>
    </row>
    <row r="37" spans="1:22" s="4" customFormat="1" hidden="1">
      <c r="A37" s="17">
        <v>220</v>
      </c>
      <c r="B37" s="27">
        <v>46063</v>
      </c>
      <c r="C37" s="6" t="s">
        <v>683</v>
      </c>
      <c r="D37" s="6"/>
      <c r="E37" s="6" t="s">
        <v>2374</v>
      </c>
      <c r="F37" s="33">
        <v>32054</v>
      </c>
      <c r="G37" s="21">
        <f>YEAR(F37)</f>
        <v>1987</v>
      </c>
      <c r="H37" s="22">
        <f t="shared" si="0"/>
        <v>39</v>
      </c>
      <c r="I37" s="23" t="s">
        <v>27</v>
      </c>
      <c r="J37" s="20"/>
      <c r="K37" s="6" t="s">
        <v>534</v>
      </c>
      <c r="L37" s="25"/>
      <c r="M37" s="48" t="s">
        <v>684</v>
      </c>
      <c r="N37" s="6"/>
      <c r="O37" s="6" t="s">
        <v>630</v>
      </c>
      <c r="P37" s="6">
        <v>162</v>
      </c>
      <c r="Q37" s="6">
        <v>58</v>
      </c>
      <c r="R37" s="26">
        <v>82</v>
      </c>
      <c r="S37" s="26"/>
      <c r="T37" s="26"/>
      <c r="U37" s="26"/>
      <c r="V37" s="6" t="s">
        <v>604</v>
      </c>
    </row>
    <row r="38" spans="1:22" s="4" customFormat="1" hidden="1">
      <c r="A38" s="20">
        <v>221</v>
      </c>
      <c r="B38" s="27">
        <v>46063</v>
      </c>
      <c r="C38" s="6" t="s">
        <v>685</v>
      </c>
      <c r="D38" s="6"/>
      <c r="E38" s="6" t="s">
        <v>2374</v>
      </c>
      <c r="F38" s="33">
        <v>28313</v>
      </c>
      <c r="G38" s="21">
        <f>YEAR(F38)</f>
        <v>1977</v>
      </c>
      <c r="H38" s="22">
        <f t="shared" si="0"/>
        <v>49</v>
      </c>
      <c r="I38" s="23" t="s">
        <v>27</v>
      </c>
      <c r="J38" s="20"/>
      <c r="K38" s="6" t="s">
        <v>534</v>
      </c>
      <c r="L38" s="25"/>
      <c r="M38" s="25" t="s">
        <v>686</v>
      </c>
      <c r="N38" s="6"/>
      <c r="O38" s="6" t="s">
        <v>687</v>
      </c>
      <c r="P38" s="6">
        <v>166</v>
      </c>
      <c r="Q38" s="6">
        <v>64</v>
      </c>
      <c r="R38" s="26">
        <v>90</v>
      </c>
      <c r="S38" s="26"/>
      <c r="T38" s="26"/>
      <c r="U38" s="26"/>
      <c r="V38" s="6" t="s">
        <v>688</v>
      </c>
    </row>
    <row r="39" spans="1:22" s="4" customFormat="1" hidden="1">
      <c r="A39" s="17">
        <v>222</v>
      </c>
      <c r="B39" s="27">
        <v>46063</v>
      </c>
      <c r="C39" s="25" t="s">
        <v>689</v>
      </c>
      <c r="D39" s="25"/>
      <c r="E39" s="6" t="s">
        <v>2374</v>
      </c>
      <c r="F39" s="33">
        <v>25904</v>
      </c>
      <c r="G39" s="21">
        <f>YEAR(F39)</f>
        <v>1970</v>
      </c>
      <c r="H39" s="22">
        <f t="shared" si="0"/>
        <v>56</v>
      </c>
      <c r="I39" s="23" t="s">
        <v>27</v>
      </c>
      <c r="J39" s="20"/>
      <c r="K39" s="6" t="s">
        <v>534</v>
      </c>
      <c r="L39" s="25"/>
      <c r="M39" s="25" t="s">
        <v>690</v>
      </c>
      <c r="N39" s="6"/>
      <c r="O39" s="6" t="s">
        <v>87</v>
      </c>
      <c r="P39" s="6">
        <v>160</v>
      </c>
      <c r="Q39" s="6">
        <v>54</v>
      </c>
      <c r="R39" s="26">
        <v>80</v>
      </c>
      <c r="S39" s="26"/>
      <c r="T39" s="26"/>
      <c r="U39" s="26"/>
      <c r="V39" s="6" t="s">
        <v>691</v>
      </c>
    </row>
    <row r="40" spans="1:22" s="4" customFormat="1" hidden="1">
      <c r="A40" s="20">
        <v>223</v>
      </c>
      <c r="B40" s="27">
        <v>46063</v>
      </c>
      <c r="C40" s="6" t="s">
        <v>692</v>
      </c>
      <c r="D40" s="6"/>
      <c r="E40" s="6" t="s">
        <v>2374</v>
      </c>
      <c r="F40" s="33" t="s">
        <v>693</v>
      </c>
      <c r="G40" s="21" t="str">
        <f>RIGHT(F40,4)</f>
        <v>1986</v>
      </c>
      <c r="H40" s="22">
        <f t="shared" si="0"/>
        <v>40</v>
      </c>
      <c r="I40" s="23"/>
      <c r="J40" s="20" t="s">
        <v>27</v>
      </c>
      <c r="K40" s="6" t="s">
        <v>534</v>
      </c>
      <c r="L40" s="25"/>
      <c r="M40" s="25" t="s">
        <v>694</v>
      </c>
      <c r="N40" s="6"/>
      <c r="O40" s="6" t="s">
        <v>665</v>
      </c>
      <c r="P40" s="6">
        <v>150</v>
      </c>
      <c r="Q40" s="6">
        <v>45</v>
      </c>
      <c r="R40" s="26">
        <v>82</v>
      </c>
      <c r="S40" s="26"/>
      <c r="T40" s="26"/>
      <c r="U40" s="26"/>
      <c r="V40" s="6" t="s">
        <v>695</v>
      </c>
    </row>
    <row r="41" spans="1:22" s="4" customFormat="1" hidden="1">
      <c r="A41" s="17">
        <v>224</v>
      </c>
      <c r="B41" s="27">
        <v>46063</v>
      </c>
      <c r="C41" s="6" t="s">
        <v>696</v>
      </c>
      <c r="D41" s="6"/>
      <c r="E41" s="6" t="s">
        <v>2374</v>
      </c>
      <c r="F41" s="33" t="s">
        <v>697</v>
      </c>
      <c r="G41" s="21" t="str">
        <f>RIGHT(F41,4)</f>
        <v>1976</v>
      </c>
      <c r="H41" s="22">
        <f t="shared" si="0"/>
        <v>50</v>
      </c>
      <c r="I41" s="23"/>
      <c r="J41" s="20" t="s">
        <v>27</v>
      </c>
      <c r="K41" s="6" t="s">
        <v>534</v>
      </c>
      <c r="L41" s="25"/>
      <c r="M41" s="25"/>
      <c r="N41" s="6"/>
      <c r="O41" s="6" t="s">
        <v>698</v>
      </c>
      <c r="P41" s="6">
        <v>155</v>
      </c>
      <c r="Q41" s="6">
        <v>52</v>
      </c>
      <c r="R41" s="26">
        <v>75</v>
      </c>
      <c r="S41" s="26"/>
      <c r="T41" s="26"/>
      <c r="U41" s="26"/>
      <c r="V41" s="6" t="s">
        <v>699</v>
      </c>
    </row>
    <row r="42" spans="1:22" s="4" customFormat="1">
      <c r="A42" s="20">
        <v>225</v>
      </c>
      <c r="B42" s="27">
        <v>46063</v>
      </c>
      <c r="C42" s="6" t="s">
        <v>700</v>
      </c>
      <c r="D42" s="6"/>
      <c r="E42" s="6" t="s">
        <v>40</v>
      </c>
      <c r="F42" s="33" t="s">
        <v>701</v>
      </c>
      <c r="G42" s="21" t="str">
        <f>RIGHT(F42,4)</f>
        <v>1962</v>
      </c>
      <c r="H42" s="22">
        <f t="shared" si="0"/>
        <v>64</v>
      </c>
      <c r="I42" s="23" t="s">
        <v>27</v>
      </c>
      <c r="J42" s="20"/>
      <c r="K42" s="6" t="s">
        <v>534</v>
      </c>
      <c r="L42" s="25"/>
      <c r="M42" s="25" t="s">
        <v>702</v>
      </c>
      <c r="N42" s="6"/>
      <c r="O42" s="6" t="s">
        <v>703</v>
      </c>
      <c r="P42" s="6">
        <v>163</v>
      </c>
      <c r="Q42" s="6">
        <v>54</v>
      </c>
      <c r="R42" s="26">
        <v>97</v>
      </c>
      <c r="S42" s="26"/>
      <c r="T42" s="26"/>
      <c r="U42" s="26"/>
      <c r="V42" s="6" t="s">
        <v>704</v>
      </c>
    </row>
    <row r="43" spans="1:22" s="4" customFormat="1" hidden="1">
      <c r="A43" s="17">
        <v>226</v>
      </c>
      <c r="B43" s="27">
        <v>46063</v>
      </c>
      <c r="C43" s="6" t="s">
        <v>705</v>
      </c>
      <c r="D43" s="6"/>
      <c r="E43" s="6" t="s">
        <v>2374</v>
      </c>
      <c r="F43" s="33" t="s">
        <v>706</v>
      </c>
      <c r="G43" s="21" t="str">
        <f>RIGHT(F43,4)</f>
        <v>1993</v>
      </c>
      <c r="H43" s="22">
        <f t="shared" si="0"/>
        <v>33</v>
      </c>
      <c r="I43" s="23" t="s">
        <v>27</v>
      </c>
      <c r="J43" s="20"/>
      <c r="K43" s="6" t="s">
        <v>534</v>
      </c>
      <c r="L43" s="25"/>
      <c r="M43" s="25" t="s">
        <v>707</v>
      </c>
      <c r="N43" s="6"/>
      <c r="O43" s="6" t="s">
        <v>665</v>
      </c>
      <c r="P43" s="6">
        <v>175</v>
      </c>
      <c r="Q43" s="6">
        <v>62</v>
      </c>
      <c r="R43" s="26">
        <v>82</v>
      </c>
      <c r="S43" s="26"/>
      <c r="T43" s="26"/>
      <c r="U43" s="26"/>
      <c r="V43" s="6" t="s">
        <v>604</v>
      </c>
    </row>
    <row r="44" spans="1:22" s="4" customFormat="1" hidden="1">
      <c r="A44" s="20">
        <v>227</v>
      </c>
      <c r="B44" s="27">
        <v>46063</v>
      </c>
      <c r="C44" s="6" t="s">
        <v>708</v>
      </c>
      <c r="D44" s="6"/>
      <c r="E44" s="6" t="s">
        <v>2374</v>
      </c>
      <c r="F44" s="33">
        <v>27862</v>
      </c>
      <c r="G44" s="21">
        <f>YEAR(F44)</f>
        <v>1976</v>
      </c>
      <c r="H44" s="22">
        <f t="shared" si="0"/>
        <v>50</v>
      </c>
      <c r="I44" s="23" t="s">
        <v>27</v>
      </c>
      <c r="J44" s="20"/>
      <c r="K44" s="6" t="s">
        <v>534</v>
      </c>
      <c r="L44" s="25"/>
      <c r="M44" s="25" t="s">
        <v>709</v>
      </c>
      <c r="N44" s="6"/>
      <c r="O44" s="6" t="s">
        <v>665</v>
      </c>
      <c r="P44" s="6">
        <v>157</v>
      </c>
      <c r="Q44" s="6">
        <v>55</v>
      </c>
      <c r="R44" s="26">
        <v>82</v>
      </c>
      <c r="S44" s="26"/>
      <c r="T44" s="26"/>
      <c r="U44" s="26"/>
      <c r="V44" s="6" t="s">
        <v>710</v>
      </c>
    </row>
    <row r="45" spans="1:22" s="4" customFormat="1" hidden="1">
      <c r="A45" s="17">
        <v>228</v>
      </c>
      <c r="B45" s="27">
        <v>46063</v>
      </c>
      <c r="C45" s="6" t="s">
        <v>711</v>
      </c>
      <c r="D45" s="6"/>
      <c r="E45" s="6" t="s">
        <v>2374</v>
      </c>
      <c r="F45" s="33" t="s">
        <v>712</v>
      </c>
      <c r="G45" s="21" t="str">
        <f>RIGHT(F45,4)</f>
        <v>1967</v>
      </c>
      <c r="H45" s="22">
        <f t="shared" si="0"/>
        <v>59</v>
      </c>
      <c r="I45" s="23"/>
      <c r="J45" s="20" t="s">
        <v>27</v>
      </c>
      <c r="K45" s="6" t="s">
        <v>534</v>
      </c>
      <c r="L45" s="25"/>
      <c r="M45" s="25" t="s">
        <v>713</v>
      </c>
      <c r="N45" s="6"/>
      <c r="O45" s="6" t="s">
        <v>714</v>
      </c>
      <c r="P45" s="6">
        <v>159</v>
      </c>
      <c r="Q45" s="6">
        <v>70</v>
      </c>
      <c r="R45" s="26">
        <v>85</v>
      </c>
      <c r="S45" s="26"/>
      <c r="T45" s="26"/>
      <c r="U45" s="26"/>
      <c r="V45" s="6" t="s">
        <v>715</v>
      </c>
    </row>
    <row r="46" spans="1:22" s="4" customFormat="1">
      <c r="A46" s="20">
        <v>229</v>
      </c>
      <c r="B46" s="27">
        <v>46063</v>
      </c>
      <c r="C46" s="6" t="s">
        <v>716</v>
      </c>
      <c r="D46" s="6"/>
      <c r="E46" s="6" t="s">
        <v>40</v>
      </c>
      <c r="F46" s="33">
        <v>15313</v>
      </c>
      <c r="G46" s="21">
        <f>YEAR(F46)</f>
        <v>1941</v>
      </c>
      <c r="H46" s="22">
        <f t="shared" si="0"/>
        <v>85</v>
      </c>
      <c r="I46" s="23"/>
      <c r="J46" s="20" t="s">
        <v>27</v>
      </c>
      <c r="K46" s="6" t="s">
        <v>534</v>
      </c>
      <c r="L46" s="25"/>
      <c r="M46" s="25" t="s">
        <v>717</v>
      </c>
      <c r="N46" s="6"/>
      <c r="O46" s="6" t="s">
        <v>143</v>
      </c>
      <c r="P46" s="6">
        <v>150</v>
      </c>
      <c r="Q46" s="6">
        <v>46</v>
      </c>
      <c r="R46" s="26">
        <v>97</v>
      </c>
      <c r="S46" s="26"/>
      <c r="T46" s="26"/>
      <c r="U46" s="26"/>
      <c r="V46" s="6" t="s">
        <v>718</v>
      </c>
    </row>
    <row r="47" spans="1:22" s="4" customFormat="1" hidden="1">
      <c r="A47" s="17">
        <v>230</v>
      </c>
      <c r="B47" s="27">
        <v>46063</v>
      </c>
      <c r="C47" s="6" t="s">
        <v>154</v>
      </c>
      <c r="D47" s="6"/>
      <c r="E47" s="51" t="s">
        <v>2374</v>
      </c>
      <c r="F47" s="33">
        <v>36893</v>
      </c>
      <c r="G47" s="21">
        <f>YEAR(F47)</f>
        <v>2001</v>
      </c>
      <c r="H47" s="22">
        <f t="shared" si="0"/>
        <v>25</v>
      </c>
      <c r="I47" s="23"/>
      <c r="J47" s="20" t="s">
        <v>27</v>
      </c>
      <c r="K47" s="6" t="s">
        <v>534</v>
      </c>
      <c r="L47" s="25"/>
      <c r="M47" s="25" t="s">
        <v>719</v>
      </c>
      <c r="N47" s="6"/>
      <c r="O47" s="6" t="s">
        <v>38</v>
      </c>
      <c r="P47" s="6">
        <v>156</v>
      </c>
      <c r="Q47" s="6">
        <v>44</v>
      </c>
      <c r="R47" s="26">
        <v>94</v>
      </c>
      <c r="S47" s="26"/>
      <c r="T47" s="26"/>
      <c r="U47" s="26"/>
      <c r="V47" s="6" t="s">
        <v>720</v>
      </c>
    </row>
    <row r="48" spans="1:22" s="4" customFormat="1" hidden="1">
      <c r="A48" s="20">
        <v>231</v>
      </c>
      <c r="B48" s="27">
        <v>46063</v>
      </c>
      <c r="C48" s="6" t="s">
        <v>721</v>
      </c>
      <c r="D48" s="6"/>
      <c r="E48" s="6" t="s">
        <v>2374</v>
      </c>
      <c r="F48" s="33" t="s">
        <v>722</v>
      </c>
      <c r="G48" s="21" t="str">
        <f>RIGHT(F48,4)</f>
        <v>2003</v>
      </c>
      <c r="H48" s="22">
        <f t="shared" si="0"/>
        <v>23</v>
      </c>
      <c r="I48" s="23"/>
      <c r="J48" s="20" t="s">
        <v>27</v>
      </c>
      <c r="K48" s="6" t="s">
        <v>534</v>
      </c>
      <c r="L48" s="25"/>
      <c r="M48" s="25" t="s">
        <v>723</v>
      </c>
      <c r="N48" s="6"/>
      <c r="O48" s="6" t="s">
        <v>724</v>
      </c>
      <c r="P48" s="6">
        <v>160</v>
      </c>
      <c r="Q48" s="6">
        <v>48</v>
      </c>
      <c r="R48" s="26">
        <v>78</v>
      </c>
      <c r="S48" s="26"/>
      <c r="T48" s="26"/>
      <c r="U48" s="26"/>
      <c r="V48" s="6" t="s">
        <v>604</v>
      </c>
    </row>
    <row r="49" spans="1:22" s="4" customFormat="1" hidden="1">
      <c r="A49" s="17">
        <v>232</v>
      </c>
      <c r="B49" s="27">
        <v>46063</v>
      </c>
      <c r="C49" s="6" t="s">
        <v>725</v>
      </c>
      <c r="D49" s="6"/>
      <c r="E49" s="6" t="s">
        <v>2374</v>
      </c>
      <c r="F49" s="33">
        <v>37111</v>
      </c>
      <c r="G49" s="21">
        <f>YEAR(F49)</f>
        <v>2001</v>
      </c>
      <c r="H49" s="22">
        <f t="shared" si="0"/>
        <v>25</v>
      </c>
      <c r="I49" s="23"/>
      <c r="J49" s="20" t="s">
        <v>27</v>
      </c>
      <c r="K49" s="6" t="s">
        <v>534</v>
      </c>
      <c r="L49" s="25"/>
      <c r="M49" s="25" t="s">
        <v>726</v>
      </c>
      <c r="N49" s="6"/>
      <c r="O49" s="6" t="s">
        <v>113</v>
      </c>
      <c r="P49" s="6">
        <v>164</v>
      </c>
      <c r="Q49" s="6">
        <v>50</v>
      </c>
      <c r="R49" s="26">
        <v>85</v>
      </c>
      <c r="S49" s="26"/>
      <c r="T49" s="26"/>
      <c r="U49" s="26"/>
      <c r="V49" s="6" t="s">
        <v>604</v>
      </c>
    </row>
    <row r="50" spans="1:22" s="4" customFormat="1">
      <c r="A50" s="20">
        <v>233</v>
      </c>
      <c r="B50" s="27">
        <v>46063</v>
      </c>
      <c r="C50" s="6" t="s">
        <v>727</v>
      </c>
      <c r="D50" s="6"/>
      <c r="E50" s="6" t="s">
        <v>40</v>
      </c>
      <c r="F50" s="33">
        <v>18324</v>
      </c>
      <c r="G50" s="21">
        <f>YEAR(F50)</f>
        <v>1950</v>
      </c>
      <c r="H50" s="22">
        <f t="shared" si="0"/>
        <v>76</v>
      </c>
      <c r="I50" s="23" t="s">
        <v>27</v>
      </c>
      <c r="J50" s="20"/>
      <c r="K50" s="6" t="s">
        <v>596</v>
      </c>
      <c r="L50" s="25"/>
      <c r="M50" s="34" t="s">
        <v>728</v>
      </c>
      <c r="N50" s="6"/>
      <c r="O50" s="6"/>
      <c r="P50" s="6">
        <v>172</v>
      </c>
      <c r="Q50" s="6">
        <v>70</v>
      </c>
      <c r="R50" s="26"/>
      <c r="S50" s="26"/>
      <c r="T50" s="26"/>
      <c r="U50" s="26"/>
      <c r="V50" s="6" t="s">
        <v>729</v>
      </c>
    </row>
    <row r="51" spans="1:22" s="4" customFormat="1" hidden="1">
      <c r="A51" s="17">
        <v>234</v>
      </c>
      <c r="B51" s="27">
        <v>46063</v>
      </c>
      <c r="C51" s="6" t="s">
        <v>730</v>
      </c>
      <c r="D51" s="6"/>
      <c r="E51" s="6" t="s">
        <v>2374</v>
      </c>
      <c r="F51" s="33">
        <v>25634</v>
      </c>
      <c r="G51" s="21">
        <f>YEAR(F51)</f>
        <v>1970</v>
      </c>
      <c r="H51" s="22">
        <f t="shared" si="0"/>
        <v>56</v>
      </c>
      <c r="I51" s="23" t="s">
        <v>27</v>
      </c>
      <c r="J51" s="20"/>
      <c r="K51" s="6" t="s">
        <v>534</v>
      </c>
      <c r="L51" s="25"/>
      <c r="M51" s="25" t="s">
        <v>731</v>
      </c>
      <c r="N51" s="6"/>
      <c r="O51" s="6" t="s">
        <v>143</v>
      </c>
      <c r="P51" s="6">
        <v>165</v>
      </c>
      <c r="Q51" s="6">
        <v>58</v>
      </c>
      <c r="R51" s="26">
        <v>80</v>
      </c>
      <c r="S51" s="26"/>
      <c r="T51" s="26"/>
      <c r="U51" s="26"/>
      <c r="V51" s="6" t="s">
        <v>732</v>
      </c>
    </row>
    <row r="52" spans="1:22" s="4" customFormat="1" hidden="1">
      <c r="A52" s="20">
        <v>235</v>
      </c>
      <c r="B52" s="27">
        <v>46063</v>
      </c>
      <c r="C52" s="6" t="s">
        <v>733</v>
      </c>
      <c r="D52" s="6"/>
      <c r="E52" s="6" t="s">
        <v>2374</v>
      </c>
      <c r="F52" s="33" t="s">
        <v>734</v>
      </c>
      <c r="G52" s="21" t="str">
        <f>RIGHT(F52,4)</f>
        <v>2001</v>
      </c>
      <c r="H52" s="22">
        <f t="shared" si="0"/>
        <v>25</v>
      </c>
      <c r="I52" s="23"/>
      <c r="J52" s="20" t="s">
        <v>27</v>
      </c>
      <c r="K52" s="6" t="s">
        <v>568</v>
      </c>
      <c r="L52" s="25"/>
      <c r="M52" s="25" t="s">
        <v>735</v>
      </c>
      <c r="N52" s="6"/>
      <c r="O52" s="6"/>
      <c r="P52" s="6">
        <v>165</v>
      </c>
      <c r="Q52" s="6">
        <v>68</v>
      </c>
      <c r="R52" s="26">
        <v>73</v>
      </c>
      <c r="S52" s="26"/>
      <c r="T52" s="26"/>
      <c r="U52" s="26"/>
      <c r="V52" s="6" t="s">
        <v>604</v>
      </c>
    </row>
    <row r="53" spans="1:22" s="4" customFormat="1" hidden="1">
      <c r="A53" s="17">
        <v>236</v>
      </c>
      <c r="B53" s="27">
        <v>46063</v>
      </c>
      <c r="C53" s="6" t="s">
        <v>736</v>
      </c>
      <c r="D53" s="6"/>
      <c r="E53" s="6" t="s">
        <v>2374</v>
      </c>
      <c r="F53" s="33" t="s">
        <v>737</v>
      </c>
      <c r="G53" s="21" t="str">
        <f>RIGHT(F53,4)</f>
        <v>1975</v>
      </c>
      <c r="H53" s="22">
        <f t="shared" si="0"/>
        <v>51</v>
      </c>
      <c r="I53" s="23"/>
      <c r="J53" s="20" t="s">
        <v>27</v>
      </c>
      <c r="K53" s="6" t="s">
        <v>534</v>
      </c>
      <c r="L53" s="25"/>
      <c r="M53" s="25" t="s">
        <v>738</v>
      </c>
      <c r="N53" s="6"/>
      <c r="O53" s="6" t="s">
        <v>209</v>
      </c>
      <c r="P53" s="6">
        <v>155</v>
      </c>
      <c r="Q53" s="6">
        <v>49</v>
      </c>
      <c r="R53" s="26">
        <v>70</v>
      </c>
      <c r="S53" s="26"/>
      <c r="T53" s="26"/>
      <c r="U53" s="26"/>
      <c r="V53" s="6" t="s">
        <v>739</v>
      </c>
    </row>
    <row r="54" spans="1:22" s="4" customFormat="1" hidden="1">
      <c r="A54" s="20">
        <v>237</v>
      </c>
      <c r="B54" s="27">
        <v>46063</v>
      </c>
      <c r="C54" s="6" t="s">
        <v>740</v>
      </c>
      <c r="D54" s="6"/>
      <c r="E54" s="6" t="s">
        <v>2374</v>
      </c>
      <c r="F54" s="33" t="s">
        <v>741</v>
      </c>
      <c r="G54" s="21" t="str">
        <f>RIGHT(F54,4)</f>
        <v>1995</v>
      </c>
      <c r="H54" s="22">
        <f t="shared" si="0"/>
        <v>31</v>
      </c>
      <c r="I54" s="23"/>
      <c r="J54" s="20" t="s">
        <v>27</v>
      </c>
      <c r="K54" s="6" t="s">
        <v>534</v>
      </c>
      <c r="L54" s="25"/>
      <c r="M54" s="25" t="s">
        <v>742</v>
      </c>
      <c r="N54" s="6"/>
      <c r="O54" s="6" t="s">
        <v>504</v>
      </c>
      <c r="P54" s="6">
        <v>155</v>
      </c>
      <c r="Q54" s="6">
        <v>52</v>
      </c>
      <c r="R54" s="26">
        <v>70</v>
      </c>
      <c r="S54" s="26"/>
      <c r="T54" s="26"/>
      <c r="U54" s="26"/>
      <c r="V54" s="6" t="s">
        <v>604</v>
      </c>
    </row>
    <row r="55" spans="1:22" s="4" customFormat="1" hidden="1">
      <c r="A55" s="17">
        <v>238</v>
      </c>
      <c r="B55" s="27">
        <v>46063</v>
      </c>
      <c r="C55" s="6" t="s">
        <v>743</v>
      </c>
      <c r="D55" s="6"/>
      <c r="E55" s="6" t="s">
        <v>2374</v>
      </c>
      <c r="F55" s="33">
        <v>33278</v>
      </c>
      <c r="G55" s="21">
        <f>YEAR(F55)</f>
        <v>1991</v>
      </c>
      <c r="H55" s="22">
        <f t="shared" si="0"/>
        <v>35</v>
      </c>
      <c r="I55" s="23"/>
      <c r="J55" s="20" t="s">
        <v>27</v>
      </c>
      <c r="K55" s="6" t="s">
        <v>534</v>
      </c>
      <c r="L55" s="25"/>
      <c r="M55" s="25" t="s">
        <v>744</v>
      </c>
      <c r="N55" s="6"/>
      <c r="O55" s="6" t="s">
        <v>309</v>
      </c>
      <c r="P55" s="6">
        <v>157</v>
      </c>
      <c r="Q55" s="6">
        <v>60</v>
      </c>
      <c r="R55" s="26">
        <v>75</v>
      </c>
      <c r="S55" s="26"/>
      <c r="T55" s="26"/>
      <c r="U55" s="26"/>
      <c r="V55" s="6" t="s">
        <v>604</v>
      </c>
    </row>
    <row r="56" spans="1:22" s="4" customFormat="1" hidden="1">
      <c r="A56" s="20">
        <v>239</v>
      </c>
      <c r="B56" s="27">
        <v>46063</v>
      </c>
      <c r="C56" s="6" t="s">
        <v>745</v>
      </c>
      <c r="D56" s="6"/>
      <c r="E56" s="6" t="s">
        <v>2374</v>
      </c>
      <c r="F56" s="33">
        <v>37052</v>
      </c>
      <c r="G56" s="21">
        <f>YEAR(F56)</f>
        <v>2001</v>
      </c>
      <c r="H56" s="22">
        <f t="shared" si="0"/>
        <v>25</v>
      </c>
      <c r="I56" s="23" t="s">
        <v>27</v>
      </c>
      <c r="J56" s="20"/>
      <c r="K56" s="6" t="s">
        <v>568</v>
      </c>
      <c r="L56" s="25"/>
      <c r="M56" s="25" t="s">
        <v>746</v>
      </c>
      <c r="N56" s="6"/>
      <c r="O56" s="6" t="s">
        <v>630</v>
      </c>
      <c r="P56" s="6">
        <v>170</v>
      </c>
      <c r="Q56" s="6">
        <v>52</v>
      </c>
      <c r="R56" s="26">
        <v>75</v>
      </c>
      <c r="S56" s="26"/>
      <c r="T56" s="26"/>
      <c r="U56" s="26"/>
      <c r="V56" s="6" t="s">
        <v>747</v>
      </c>
    </row>
    <row r="57" spans="1:22" s="4" customFormat="1" hidden="1">
      <c r="A57" s="17">
        <v>240</v>
      </c>
      <c r="B57" s="27">
        <v>46063</v>
      </c>
      <c r="C57" s="6" t="s">
        <v>748</v>
      </c>
      <c r="D57" s="6"/>
      <c r="E57" s="6" t="s">
        <v>2374</v>
      </c>
      <c r="F57" s="33" t="s">
        <v>749</v>
      </c>
      <c r="G57" s="21" t="str">
        <f>RIGHT(F57,4)</f>
        <v>1993</v>
      </c>
      <c r="H57" s="22">
        <f t="shared" si="0"/>
        <v>33</v>
      </c>
      <c r="I57" s="23"/>
      <c r="J57" s="20" t="s">
        <v>27</v>
      </c>
      <c r="K57" s="6" t="s">
        <v>534</v>
      </c>
      <c r="L57" s="25"/>
      <c r="M57" s="25" t="s">
        <v>750</v>
      </c>
      <c r="N57" s="6"/>
      <c r="O57" s="6" t="s">
        <v>751</v>
      </c>
      <c r="P57" s="6">
        <v>160</v>
      </c>
      <c r="Q57" s="6">
        <v>55</v>
      </c>
      <c r="R57" s="26">
        <v>74</v>
      </c>
      <c r="S57" s="26"/>
      <c r="T57" s="26"/>
      <c r="U57" s="26"/>
      <c r="V57" s="6" t="s">
        <v>604</v>
      </c>
    </row>
    <row r="58" spans="1:22" s="4" customFormat="1" hidden="1">
      <c r="A58" s="20">
        <v>241</v>
      </c>
      <c r="B58" s="27">
        <v>46063</v>
      </c>
      <c r="C58" s="6" t="s">
        <v>752</v>
      </c>
      <c r="D58" s="6"/>
      <c r="E58" s="6" t="s">
        <v>2374</v>
      </c>
      <c r="F58" s="33" t="s">
        <v>753</v>
      </c>
      <c r="G58" s="21" t="str">
        <f>RIGHT(F58,4)</f>
        <v>1972</v>
      </c>
      <c r="H58" s="22">
        <f t="shared" si="0"/>
        <v>54</v>
      </c>
      <c r="I58" s="23"/>
      <c r="J58" s="20" t="s">
        <v>27</v>
      </c>
      <c r="K58" s="6" t="s">
        <v>534</v>
      </c>
      <c r="L58" s="25"/>
      <c r="M58" s="25" t="s">
        <v>754</v>
      </c>
      <c r="N58" s="6"/>
      <c r="O58" s="6" t="s">
        <v>755</v>
      </c>
      <c r="P58" s="6">
        <v>163</v>
      </c>
      <c r="Q58" s="6">
        <v>62</v>
      </c>
      <c r="R58" s="26">
        <v>95</v>
      </c>
      <c r="S58" s="26"/>
      <c r="T58" s="26"/>
      <c r="U58" s="26"/>
      <c r="V58" s="6" t="s">
        <v>604</v>
      </c>
    </row>
    <row r="59" spans="1:22" s="4" customFormat="1" hidden="1">
      <c r="A59" s="17">
        <v>242</v>
      </c>
      <c r="B59" s="27">
        <v>46063</v>
      </c>
      <c r="C59" s="6" t="s">
        <v>756</v>
      </c>
      <c r="D59" s="6"/>
      <c r="E59" s="6" t="s">
        <v>2374</v>
      </c>
      <c r="F59" s="33">
        <v>34853</v>
      </c>
      <c r="G59" s="21">
        <f>YEAR(F59)</f>
        <v>1995</v>
      </c>
      <c r="H59" s="22">
        <f t="shared" si="0"/>
        <v>31</v>
      </c>
      <c r="I59" s="23"/>
      <c r="J59" s="20" t="s">
        <v>27</v>
      </c>
      <c r="K59" s="6" t="s">
        <v>534</v>
      </c>
      <c r="L59" s="25"/>
      <c r="M59" s="25" t="s">
        <v>757</v>
      </c>
      <c r="N59" s="6"/>
      <c r="O59" s="6" t="s">
        <v>258</v>
      </c>
      <c r="P59" s="6">
        <v>153</v>
      </c>
      <c r="Q59" s="6">
        <v>45</v>
      </c>
      <c r="R59" s="26">
        <v>75</v>
      </c>
      <c r="S59" s="26"/>
      <c r="T59" s="26"/>
      <c r="U59" s="26"/>
      <c r="V59" s="6" t="s">
        <v>758</v>
      </c>
    </row>
    <row r="60" spans="1:22" s="4" customFormat="1" hidden="1">
      <c r="A60" s="20">
        <v>243</v>
      </c>
      <c r="B60" s="27">
        <v>46063</v>
      </c>
      <c r="C60" s="6" t="s">
        <v>759</v>
      </c>
      <c r="D60" s="6"/>
      <c r="E60" s="6" t="s">
        <v>2374</v>
      </c>
      <c r="F60" s="33" t="s">
        <v>760</v>
      </c>
      <c r="G60" s="21" t="str">
        <f>RIGHT(F60,4)</f>
        <v>1979</v>
      </c>
      <c r="H60" s="22">
        <f t="shared" si="0"/>
        <v>47</v>
      </c>
      <c r="I60" s="23"/>
      <c r="J60" s="20" t="s">
        <v>27</v>
      </c>
      <c r="K60" s="6" t="s">
        <v>534</v>
      </c>
      <c r="L60" s="25"/>
      <c r="M60" s="25" t="s">
        <v>761</v>
      </c>
      <c r="N60" s="6"/>
      <c r="O60" s="6" t="s">
        <v>762</v>
      </c>
      <c r="P60" s="6">
        <v>150</v>
      </c>
      <c r="Q60" s="6">
        <v>50</v>
      </c>
      <c r="R60" s="26">
        <v>85</v>
      </c>
      <c r="S60" s="26"/>
      <c r="T60" s="26"/>
      <c r="U60" s="26"/>
      <c r="V60" s="6" t="s">
        <v>763</v>
      </c>
    </row>
    <row r="61" spans="1:22" s="4" customFormat="1">
      <c r="A61" s="17">
        <v>244</v>
      </c>
      <c r="B61" s="27">
        <v>46063</v>
      </c>
      <c r="C61" s="6" t="s">
        <v>764</v>
      </c>
      <c r="D61" s="6"/>
      <c r="E61" s="6" t="s">
        <v>40</v>
      </c>
      <c r="F61" s="33">
        <v>16355</v>
      </c>
      <c r="G61" s="21">
        <f>YEAR(F61)</f>
        <v>1944</v>
      </c>
      <c r="H61" s="22">
        <f t="shared" si="0"/>
        <v>82</v>
      </c>
      <c r="I61" s="23"/>
      <c r="J61" s="20" t="s">
        <v>27</v>
      </c>
      <c r="K61" s="6" t="s">
        <v>534</v>
      </c>
      <c r="L61" s="25"/>
      <c r="M61" s="25" t="s">
        <v>765</v>
      </c>
      <c r="N61" s="6"/>
      <c r="O61" s="6" t="s">
        <v>34</v>
      </c>
      <c r="P61" s="6">
        <v>157</v>
      </c>
      <c r="Q61" s="6">
        <v>42</v>
      </c>
      <c r="R61" s="26">
        <v>80</v>
      </c>
      <c r="S61" s="26"/>
      <c r="T61" s="26"/>
      <c r="U61" s="26"/>
      <c r="V61" s="6" t="s">
        <v>766</v>
      </c>
    </row>
    <row r="62" spans="1:22" s="4" customFormat="1" hidden="1">
      <c r="A62" s="20">
        <v>245</v>
      </c>
      <c r="B62" s="27">
        <v>46063</v>
      </c>
      <c r="C62" s="6" t="s">
        <v>767</v>
      </c>
      <c r="D62" s="6"/>
      <c r="E62" s="6" t="s">
        <v>2374</v>
      </c>
      <c r="F62" s="33" t="s">
        <v>768</v>
      </c>
      <c r="G62" s="21" t="str">
        <f>RIGHT(F62,4)</f>
        <v>1978</v>
      </c>
      <c r="H62" s="22">
        <f t="shared" si="0"/>
        <v>48</v>
      </c>
      <c r="I62" s="23"/>
      <c r="J62" s="20" t="s">
        <v>27</v>
      </c>
      <c r="K62" s="6" t="s">
        <v>534</v>
      </c>
      <c r="L62" s="25"/>
      <c r="M62" s="25" t="s">
        <v>769</v>
      </c>
      <c r="N62" s="6"/>
      <c r="O62" s="6" t="s">
        <v>87</v>
      </c>
      <c r="P62" s="6">
        <v>155</v>
      </c>
      <c r="Q62" s="6">
        <v>58</v>
      </c>
      <c r="R62" s="26">
        <v>80</v>
      </c>
      <c r="S62" s="26"/>
      <c r="T62" s="26"/>
      <c r="U62" s="26"/>
      <c r="V62" s="6" t="s">
        <v>604</v>
      </c>
    </row>
    <row r="63" spans="1:22" s="4" customFormat="1">
      <c r="A63" s="17">
        <v>246</v>
      </c>
      <c r="B63" s="27">
        <v>46063</v>
      </c>
      <c r="C63" s="6" t="s">
        <v>770</v>
      </c>
      <c r="D63" s="6"/>
      <c r="E63" s="6" t="s">
        <v>40</v>
      </c>
      <c r="F63" s="33">
        <v>13217</v>
      </c>
      <c r="G63" s="21">
        <f t="shared" ref="G63:G72" si="1">YEAR(F63)</f>
        <v>1936</v>
      </c>
      <c r="H63" s="22">
        <f t="shared" si="0"/>
        <v>90</v>
      </c>
      <c r="I63" s="23"/>
      <c r="J63" s="20" t="s">
        <v>27</v>
      </c>
      <c r="K63" s="6" t="s">
        <v>534</v>
      </c>
      <c r="L63" s="25"/>
      <c r="M63" s="25" t="s">
        <v>771</v>
      </c>
      <c r="N63" s="6"/>
      <c r="O63" s="6" t="s">
        <v>104</v>
      </c>
      <c r="P63" s="6">
        <v>150</v>
      </c>
      <c r="Q63" s="6">
        <v>45</v>
      </c>
      <c r="R63" s="26">
        <v>80</v>
      </c>
      <c r="S63" s="26"/>
      <c r="T63" s="26"/>
      <c r="U63" s="26"/>
      <c r="V63" s="6" t="s">
        <v>772</v>
      </c>
    </row>
    <row r="64" spans="1:22" s="4" customFormat="1">
      <c r="A64" s="20">
        <v>247</v>
      </c>
      <c r="B64" s="27">
        <v>46063</v>
      </c>
      <c r="C64" s="6" t="s">
        <v>773</v>
      </c>
      <c r="D64" s="6"/>
      <c r="E64" s="6" t="s">
        <v>40</v>
      </c>
      <c r="F64" s="33">
        <v>16711</v>
      </c>
      <c r="G64" s="21">
        <f t="shared" si="1"/>
        <v>1945</v>
      </c>
      <c r="H64" s="22">
        <f t="shared" si="0"/>
        <v>81</v>
      </c>
      <c r="I64" s="23"/>
      <c r="J64" s="20" t="s">
        <v>27</v>
      </c>
      <c r="K64" s="6" t="s">
        <v>534</v>
      </c>
      <c r="L64" s="25"/>
      <c r="M64" s="25" t="s">
        <v>774</v>
      </c>
      <c r="N64" s="6"/>
      <c r="O64" s="6" t="s">
        <v>60</v>
      </c>
      <c r="P64" s="6">
        <v>168</v>
      </c>
      <c r="Q64" s="6">
        <v>50</v>
      </c>
      <c r="R64" s="26">
        <v>87</v>
      </c>
      <c r="S64" s="26"/>
      <c r="T64" s="26"/>
      <c r="U64" s="26"/>
      <c r="V64" s="6" t="s">
        <v>775</v>
      </c>
    </row>
    <row r="65" spans="1:22" s="4" customFormat="1">
      <c r="A65" s="17">
        <v>248</v>
      </c>
      <c r="B65" s="27">
        <v>46063</v>
      </c>
      <c r="C65" s="6" t="s">
        <v>776</v>
      </c>
      <c r="D65" s="6"/>
      <c r="E65" s="6" t="s">
        <v>40</v>
      </c>
      <c r="F65" s="33">
        <v>14611</v>
      </c>
      <c r="G65" s="21">
        <f t="shared" si="1"/>
        <v>1940</v>
      </c>
      <c r="H65" s="22">
        <f t="shared" si="0"/>
        <v>86</v>
      </c>
      <c r="I65" s="23"/>
      <c r="J65" s="20" t="s">
        <v>27</v>
      </c>
      <c r="K65" s="6" t="s">
        <v>534</v>
      </c>
      <c r="L65" s="25"/>
      <c r="M65" s="25" t="s">
        <v>777</v>
      </c>
      <c r="N65" s="6"/>
      <c r="O65" s="6" t="s">
        <v>60</v>
      </c>
      <c r="P65" s="6">
        <v>148</v>
      </c>
      <c r="Q65" s="6">
        <v>42</v>
      </c>
      <c r="R65" s="26">
        <v>77</v>
      </c>
      <c r="S65" s="26"/>
      <c r="T65" s="26"/>
      <c r="U65" s="26"/>
      <c r="V65" s="6" t="s">
        <v>778</v>
      </c>
    </row>
    <row r="66" spans="1:22" s="4" customFormat="1">
      <c r="A66" s="20">
        <v>249</v>
      </c>
      <c r="B66" s="27">
        <v>46063</v>
      </c>
      <c r="C66" s="6" t="s">
        <v>779</v>
      </c>
      <c r="D66" s="6"/>
      <c r="E66" s="6" t="s">
        <v>40</v>
      </c>
      <c r="F66" s="33">
        <v>22741</v>
      </c>
      <c r="G66" s="21">
        <f t="shared" si="1"/>
        <v>1962</v>
      </c>
      <c r="H66" s="22">
        <f t="shared" si="0"/>
        <v>64</v>
      </c>
      <c r="I66" s="23" t="s">
        <v>27</v>
      </c>
      <c r="J66" s="20"/>
      <c r="K66" s="6" t="s">
        <v>534</v>
      </c>
      <c r="L66" s="25"/>
      <c r="M66" s="25" t="s">
        <v>780</v>
      </c>
      <c r="N66" s="6"/>
      <c r="O66" s="6" t="s">
        <v>333</v>
      </c>
      <c r="P66" s="6">
        <v>170</v>
      </c>
      <c r="Q66" s="6">
        <v>60</v>
      </c>
      <c r="R66" s="26">
        <v>80</v>
      </c>
      <c r="S66" s="26"/>
      <c r="T66" s="26"/>
      <c r="U66" s="26"/>
      <c r="V66" s="6" t="s">
        <v>781</v>
      </c>
    </row>
    <row r="67" spans="1:22" s="4" customFormat="1" hidden="1">
      <c r="A67" s="17">
        <v>250</v>
      </c>
      <c r="B67" s="27">
        <v>46063</v>
      </c>
      <c r="C67" s="6" t="s">
        <v>782</v>
      </c>
      <c r="D67" s="6"/>
      <c r="E67" s="6" t="s">
        <v>2374</v>
      </c>
      <c r="F67" s="33">
        <v>30355</v>
      </c>
      <c r="G67" s="21">
        <f t="shared" si="1"/>
        <v>1983</v>
      </c>
      <c r="H67" s="22">
        <f t="shared" ref="H67:H130" si="2">2026-G67</f>
        <v>43</v>
      </c>
      <c r="I67" s="23"/>
      <c r="J67" s="20" t="s">
        <v>27</v>
      </c>
      <c r="K67" s="6" t="s">
        <v>596</v>
      </c>
      <c r="L67" s="25"/>
      <c r="M67" s="25" t="s">
        <v>783</v>
      </c>
      <c r="N67" s="6"/>
      <c r="O67" s="6" t="s">
        <v>784</v>
      </c>
      <c r="P67" s="6">
        <v>162</v>
      </c>
      <c r="Q67" s="6">
        <v>56</v>
      </c>
      <c r="R67" s="26">
        <v>76</v>
      </c>
      <c r="S67" s="26"/>
      <c r="T67" s="26"/>
      <c r="U67" s="26"/>
      <c r="V67" s="6" t="s">
        <v>785</v>
      </c>
    </row>
    <row r="68" spans="1:22" s="4" customFormat="1" hidden="1">
      <c r="A68" s="20">
        <v>251</v>
      </c>
      <c r="B68" s="35">
        <v>46063</v>
      </c>
      <c r="C68" s="36" t="s">
        <v>786</v>
      </c>
      <c r="D68" s="36"/>
      <c r="E68" s="6" t="s">
        <v>2374</v>
      </c>
      <c r="F68" s="37">
        <v>25332</v>
      </c>
      <c r="G68" s="21">
        <f t="shared" si="1"/>
        <v>1969</v>
      </c>
      <c r="H68" s="38">
        <f t="shared" si="2"/>
        <v>57</v>
      </c>
      <c r="I68" s="39" t="s">
        <v>27</v>
      </c>
      <c r="J68" s="40"/>
      <c r="K68" s="36"/>
      <c r="L68" s="41"/>
      <c r="M68" s="41" t="s">
        <v>787</v>
      </c>
      <c r="N68" s="36"/>
      <c r="O68" s="36" t="s">
        <v>87</v>
      </c>
      <c r="P68" s="36"/>
      <c r="Q68" s="36"/>
      <c r="R68" s="42">
        <v>75</v>
      </c>
      <c r="S68" s="42"/>
      <c r="T68" s="42"/>
      <c r="U68" s="42"/>
      <c r="V68" s="36" t="s">
        <v>788</v>
      </c>
    </row>
    <row r="69" spans="1:22" s="4" customFormat="1">
      <c r="A69" s="17">
        <v>252</v>
      </c>
      <c r="B69" s="27">
        <v>46063</v>
      </c>
      <c r="C69" s="6" t="s">
        <v>789</v>
      </c>
      <c r="D69" s="6"/>
      <c r="E69" s="6" t="s">
        <v>40</v>
      </c>
      <c r="F69" s="33">
        <v>12936</v>
      </c>
      <c r="G69" s="21">
        <f t="shared" si="1"/>
        <v>1935</v>
      </c>
      <c r="H69" s="22">
        <f t="shared" si="2"/>
        <v>91</v>
      </c>
      <c r="I69" s="23" t="s">
        <v>27</v>
      </c>
      <c r="J69" s="20"/>
      <c r="K69" s="6" t="s">
        <v>596</v>
      </c>
      <c r="L69" s="25"/>
      <c r="M69" s="25" t="s">
        <v>790</v>
      </c>
      <c r="N69" s="6"/>
      <c r="O69" s="6" t="s">
        <v>104</v>
      </c>
      <c r="P69" s="6">
        <v>150</v>
      </c>
      <c r="Q69" s="6">
        <v>51</v>
      </c>
      <c r="R69" s="26">
        <v>75</v>
      </c>
      <c r="S69" s="26"/>
      <c r="T69" s="26"/>
      <c r="U69" s="26"/>
      <c r="V69" s="6" t="s">
        <v>791</v>
      </c>
    </row>
    <row r="70" spans="1:22" s="4" customFormat="1" hidden="1">
      <c r="A70" s="20">
        <v>253</v>
      </c>
      <c r="B70" s="27">
        <v>46063</v>
      </c>
      <c r="C70" s="6" t="s">
        <v>792</v>
      </c>
      <c r="D70" s="6"/>
      <c r="E70" s="6" t="s">
        <v>2374</v>
      </c>
      <c r="F70" s="33">
        <v>25842</v>
      </c>
      <c r="G70" s="21">
        <f t="shared" si="1"/>
        <v>1970</v>
      </c>
      <c r="H70" s="22">
        <f t="shared" si="2"/>
        <v>56</v>
      </c>
      <c r="I70" s="23" t="s">
        <v>27</v>
      </c>
      <c r="J70" s="20"/>
      <c r="K70" s="6" t="s">
        <v>596</v>
      </c>
      <c r="L70" s="25"/>
      <c r="M70" s="25" t="s">
        <v>793</v>
      </c>
      <c r="N70" s="6"/>
      <c r="O70" s="6" t="s">
        <v>34</v>
      </c>
      <c r="P70" s="6">
        <v>167</v>
      </c>
      <c r="Q70" s="6">
        <v>54</v>
      </c>
      <c r="R70" s="26">
        <v>82</v>
      </c>
      <c r="S70" s="26"/>
      <c r="T70" s="26"/>
      <c r="U70" s="26"/>
      <c r="V70" s="6" t="s">
        <v>604</v>
      </c>
    </row>
    <row r="71" spans="1:22" s="4" customFormat="1">
      <c r="A71" s="17">
        <v>254</v>
      </c>
      <c r="B71" s="27">
        <v>46063</v>
      </c>
      <c r="C71" s="6" t="s">
        <v>794</v>
      </c>
      <c r="D71" s="6"/>
      <c r="E71" s="6" t="s">
        <v>40</v>
      </c>
      <c r="F71" s="33">
        <v>20002</v>
      </c>
      <c r="G71" s="21">
        <f t="shared" si="1"/>
        <v>1954</v>
      </c>
      <c r="H71" s="22">
        <f t="shared" si="2"/>
        <v>72</v>
      </c>
      <c r="I71" s="23"/>
      <c r="J71" s="20" t="s">
        <v>27</v>
      </c>
      <c r="K71" s="6" t="s">
        <v>568</v>
      </c>
      <c r="L71" s="25"/>
      <c r="M71" s="25" t="s">
        <v>795</v>
      </c>
      <c r="N71" s="6"/>
      <c r="O71" s="6" t="s">
        <v>143</v>
      </c>
      <c r="P71" s="6">
        <v>155</v>
      </c>
      <c r="Q71" s="6">
        <v>62</v>
      </c>
      <c r="R71" s="26">
        <v>80</v>
      </c>
      <c r="S71" s="26"/>
      <c r="T71" s="26"/>
      <c r="U71" s="26"/>
      <c r="V71" s="6" t="s">
        <v>796</v>
      </c>
    </row>
    <row r="72" spans="1:22" s="4" customFormat="1" hidden="1">
      <c r="A72" s="20">
        <v>255</v>
      </c>
      <c r="B72" s="27">
        <v>46063</v>
      </c>
      <c r="C72" s="6" t="s">
        <v>797</v>
      </c>
      <c r="D72" s="6"/>
      <c r="E72" s="6" t="s">
        <v>2374</v>
      </c>
      <c r="F72" s="33">
        <v>27030</v>
      </c>
      <c r="G72" s="21">
        <f t="shared" si="1"/>
        <v>1974</v>
      </c>
      <c r="H72" s="22">
        <f t="shared" si="2"/>
        <v>52</v>
      </c>
      <c r="I72" s="23"/>
      <c r="J72" s="20" t="s">
        <v>27</v>
      </c>
      <c r="K72" s="6"/>
      <c r="L72" s="25"/>
      <c r="M72" s="25" t="s">
        <v>798</v>
      </c>
      <c r="N72" s="6"/>
      <c r="O72" s="6" t="s">
        <v>799</v>
      </c>
      <c r="P72" s="6">
        <v>158</v>
      </c>
      <c r="Q72" s="6">
        <v>59</v>
      </c>
      <c r="R72" s="26">
        <v>80</v>
      </c>
      <c r="S72" s="26"/>
      <c r="T72" s="26"/>
      <c r="U72" s="26"/>
      <c r="V72" s="6" t="s">
        <v>800</v>
      </c>
    </row>
    <row r="73" spans="1:22" s="4" customFormat="1" hidden="1">
      <c r="A73" s="17">
        <v>256</v>
      </c>
      <c r="B73" s="27">
        <v>46063</v>
      </c>
      <c r="C73" s="6" t="s">
        <v>801</v>
      </c>
      <c r="D73" s="6"/>
      <c r="E73" s="6" t="s">
        <v>2374</v>
      </c>
      <c r="F73" s="33" t="s">
        <v>802</v>
      </c>
      <c r="G73" s="21" t="str">
        <f>RIGHT(F73,4)</f>
        <v>1972</v>
      </c>
      <c r="H73" s="22">
        <f t="shared" si="2"/>
        <v>54</v>
      </c>
      <c r="I73" s="23"/>
      <c r="J73" s="20" t="s">
        <v>27</v>
      </c>
      <c r="K73" s="6" t="s">
        <v>534</v>
      </c>
      <c r="L73" s="25"/>
      <c r="M73" s="25" t="s">
        <v>803</v>
      </c>
      <c r="N73" s="6"/>
      <c r="O73" s="6" t="s">
        <v>143</v>
      </c>
      <c r="P73" s="6">
        <v>150</v>
      </c>
      <c r="Q73" s="6">
        <v>55</v>
      </c>
      <c r="R73" s="26">
        <v>80</v>
      </c>
      <c r="S73" s="26"/>
      <c r="T73" s="26"/>
      <c r="U73" s="26"/>
      <c r="V73" s="6" t="s">
        <v>804</v>
      </c>
    </row>
    <row r="74" spans="1:22" s="4" customFormat="1" hidden="1">
      <c r="A74" s="20">
        <v>257</v>
      </c>
      <c r="B74" s="27">
        <v>46063</v>
      </c>
      <c r="C74" s="6" t="s">
        <v>805</v>
      </c>
      <c r="D74" s="6"/>
      <c r="E74" s="6" t="s">
        <v>2374</v>
      </c>
      <c r="F74" s="33" t="s">
        <v>806</v>
      </c>
      <c r="G74" s="21" t="str">
        <f>RIGHT(F74,4)</f>
        <v>1977</v>
      </c>
      <c r="H74" s="22">
        <f t="shared" si="2"/>
        <v>49</v>
      </c>
      <c r="I74" s="23"/>
      <c r="J74" s="20" t="s">
        <v>27</v>
      </c>
      <c r="K74" s="6" t="s">
        <v>596</v>
      </c>
      <c r="L74" s="25"/>
      <c r="M74" s="25" t="s">
        <v>807</v>
      </c>
      <c r="N74" s="6"/>
      <c r="O74" s="6" t="s">
        <v>34</v>
      </c>
      <c r="P74" s="6">
        <v>160</v>
      </c>
      <c r="Q74" s="6">
        <v>68</v>
      </c>
      <c r="R74" s="26">
        <v>75</v>
      </c>
      <c r="S74" s="26"/>
      <c r="T74" s="26"/>
      <c r="U74" s="26"/>
      <c r="V74" s="6" t="s">
        <v>747</v>
      </c>
    </row>
    <row r="75" spans="1:22" s="4" customFormat="1" hidden="1">
      <c r="A75" s="17">
        <v>258</v>
      </c>
      <c r="B75" s="27">
        <v>46063</v>
      </c>
      <c r="C75" s="6" t="s">
        <v>808</v>
      </c>
      <c r="D75" s="6"/>
      <c r="E75" s="6" t="s">
        <v>2374</v>
      </c>
      <c r="F75" s="33" t="s">
        <v>809</v>
      </c>
      <c r="G75" s="21" t="str">
        <f>RIGHT(F75,4)</f>
        <v>1982</v>
      </c>
      <c r="H75" s="22">
        <f t="shared" si="2"/>
        <v>44</v>
      </c>
      <c r="I75" s="23" t="s">
        <v>27</v>
      </c>
      <c r="J75" s="20"/>
      <c r="K75" s="6" t="s">
        <v>568</v>
      </c>
      <c r="L75" s="25"/>
      <c r="M75" s="25" t="s">
        <v>810</v>
      </c>
      <c r="N75" s="6"/>
      <c r="O75" s="6" t="s">
        <v>113</v>
      </c>
      <c r="P75" s="6">
        <v>170</v>
      </c>
      <c r="Q75" s="6">
        <v>57</v>
      </c>
      <c r="R75" s="26">
        <v>76</v>
      </c>
      <c r="S75" s="26"/>
      <c r="T75" s="26"/>
      <c r="U75" s="26"/>
      <c r="V75" s="6" t="s">
        <v>747</v>
      </c>
    </row>
    <row r="76" spans="1:22" s="4" customFormat="1">
      <c r="A76" s="20">
        <v>259</v>
      </c>
      <c r="B76" s="27">
        <v>46063</v>
      </c>
      <c r="C76" s="6" t="s">
        <v>811</v>
      </c>
      <c r="D76" s="6"/>
      <c r="E76" s="6" t="s">
        <v>40</v>
      </c>
      <c r="F76" s="33">
        <v>21438</v>
      </c>
      <c r="G76" s="21">
        <f>YEAR(F76)</f>
        <v>1958</v>
      </c>
      <c r="H76" s="22">
        <f t="shared" si="2"/>
        <v>68</v>
      </c>
      <c r="I76" s="23"/>
      <c r="J76" s="20" t="s">
        <v>27</v>
      </c>
      <c r="K76" s="6" t="s">
        <v>534</v>
      </c>
      <c r="L76" s="25"/>
      <c r="M76" s="25" t="s">
        <v>812</v>
      </c>
      <c r="N76" s="6"/>
      <c r="O76" s="6" t="s">
        <v>813</v>
      </c>
      <c r="P76" s="6">
        <v>153</v>
      </c>
      <c r="Q76" s="6">
        <v>50</v>
      </c>
      <c r="R76" s="26">
        <v>85</v>
      </c>
      <c r="S76" s="26"/>
      <c r="T76" s="26"/>
      <c r="U76" s="26"/>
      <c r="V76" s="6" t="s">
        <v>814</v>
      </c>
    </row>
    <row r="77" spans="1:22" s="4" customFormat="1">
      <c r="A77" s="17">
        <v>260</v>
      </c>
      <c r="B77" s="27">
        <v>46063</v>
      </c>
      <c r="C77" s="6" t="s">
        <v>815</v>
      </c>
      <c r="D77" s="6"/>
      <c r="E77" s="6" t="s">
        <v>40</v>
      </c>
      <c r="F77" s="33" t="s">
        <v>816</v>
      </c>
      <c r="G77" s="21" t="str">
        <f>RIGHT(F77,4)</f>
        <v>1957</v>
      </c>
      <c r="H77" s="22">
        <f t="shared" si="2"/>
        <v>69</v>
      </c>
      <c r="I77" s="23" t="s">
        <v>27</v>
      </c>
      <c r="J77" s="20"/>
      <c r="K77" s="6"/>
      <c r="L77" s="25"/>
      <c r="M77" s="25" t="s">
        <v>817</v>
      </c>
      <c r="N77" s="6"/>
      <c r="O77" s="6" t="s">
        <v>143</v>
      </c>
      <c r="P77" s="6">
        <v>160</v>
      </c>
      <c r="Q77" s="6">
        <v>66</v>
      </c>
      <c r="R77" s="26">
        <v>70</v>
      </c>
      <c r="S77" s="26"/>
      <c r="T77" s="26"/>
      <c r="U77" s="26"/>
      <c r="V77" s="6" t="s">
        <v>818</v>
      </c>
    </row>
    <row r="78" spans="1:22" s="4" customFormat="1">
      <c r="A78" s="20">
        <v>261</v>
      </c>
      <c r="B78" s="27">
        <v>46063</v>
      </c>
      <c r="C78" s="6" t="s">
        <v>819</v>
      </c>
      <c r="D78" s="6"/>
      <c r="E78" s="6" t="s">
        <v>40</v>
      </c>
      <c r="F78" s="33">
        <v>18233</v>
      </c>
      <c r="G78" s="21">
        <f>YEAR(F78)</f>
        <v>1949</v>
      </c>
      <c r="H78" s="22">
        <f t="shared" si="2"/>
        <v>77</v>
      </c>
      <c r="I78" s="23" t="s">
        <v>27</v>
      </c>
      <c r="J78" s="20"/>
      <c r="K78" s="6" t="s">
        <v>568</v>
      </c>
      <c r="L78" s="25"/>
      <c r="M78" s="25" t="s">
        <v>820</v>
      </c>
      <c r="N78" s="6"/>
      <c r="O78" s="6" t="s">
        <v>288</v>
      </c>
      <c r="P78" s="6">
        <v>165</v>
      </c>
      <c r="Q78" s="6">
        <v>56</v>
      </c>
      <c r="R78" s="26">
        <v>72</v>
      </c>
      <c r="S78" s="26"/>
      <c r="T78" s="26"/>
      <c r="U78" s="26"/>
      <c r="V78" s="6" t="s">
        <v>821</v>
      </c>
    </row>
    <row r="79" spans="1:22" s="4" customFormat="1">
      <c r="A79" s="17">
        <v>262</v>
      </c>
      <c r="B79" s="27">
        <v>46063</v>
      </c>
      <c r="C79" s="6" t="s">
        <v>822</v>
      </c>
      <c r="D79" s="6"/>
      <c r="E79" s="6" t="s">
        <v>40</v>
      </c>
      <c r="F79" s="33">
        <v>15403</v>
      </c>
      <c r="G79" s="21">
        <f>YEAR(F79)</f>
        <v>1942</v>
      </c>
      <c r="H79" s="22">
        <f t="shared" si="2"/>
        <v>84</v>
      </c>
      <c r="I79" s="23" t="s">
        <v>27</v>
      </c>
      <c r="J79" s="20"/>
      <c r="K79" s="6" t="s">
        <v>568</v>
      </c>
      <c r="L79" s="25"/>
      <c r="M79" s="25" t="s">
        <v>823</v>
      </c>
      <c r="N79" s="6"/>
      <c r="O79" s="6" t="s">
        <v>288</v>
      </c>
      <c r="P79" s="6">
        <v>150</v>
      </c>
      <c r="Q79" s="6">
        <v>48</v>
      </c>
      <c r="R79" s="26">
        <v>80</v>
      </c>
      <c r="S79" s="26"/>
      <c r="T79" s="26"/>
      <c r="U79" s="26"/>
      <c r="V79" s="6" t="s">
        <v>824</v>
      </c>
    </row>
    <row r="80" spans="1:22" s="4" customFormat="1">
      <c r="A80" s="20">
        <v>263</v>
      </c>
      <c r="B80" s="27">
        <v>46063</v>
      </c>
      <c r="C80" s="6" t="s">
        <v>825</v>
      </c>
      <c r="D80" s="6"/>
      <c r="E80" s="6" t="s">
        <v>40</v>
      </c>
      <c r="F80" s="33">
        <v>16438</v>
      </c>
      <c r="G80" s="21">
        <f>YEAR(F80)</f>
        <v>1945</v>
      </c>
      <c r="H80" s="22">
        <f t="shared" si="2"/>
        <v>81</v>
      </c>
      <c r="I80" s="23"/>
      <c r="J80" s="20" t="s">
        <v>27</v>
      </c>
      <c r="K80" s="6" t="s">
        <v>568</v>
      </c>
      <c r="L80" s="25"/>
      <c r="M80" s="25" t="s">
        <v>826</v>
      </c>
      <c r="N80" s="6"/>
      <c r="O80" s="6" t="s">
        <v>143</v>
      </c>
      <c r="P80" s="6">
        <v>155</v>
      </c>
      <c r="Q80" s="6">
        <v>46</v>
      </c>
      <c r="R80" s="26">
        <v>82</v>
      </c>
      <c r="S80" s="26"/>
      <c r="T80" s="26"/>
      <c r="U80" s="26"/>
      <c r="V80" s="6" t="s">
        <v>827</v>
      </c>
    </row>
    <row r="81" spans="1:22" s="4" customFormat="1">
      <c r="A81" s="17">
        <v>264</v>
      </c>
      <c r="B81" s="27">
        <v>46063</v>
      </c>
      <c r="C81" s="6" t="s">
        <v>828</v>
      </c>
      <c r="D81" s="6"/>
      <c r="E81" s="6" t="s">
        <v>40</v>
      </c>
      <c r="F81" s="33">
        <v>20580</v>
      </c>
      <c r="G81" s="21">
        <f>YEAR(F81)</f>
        <v>1956</v>
      </c>
      <c r="H81" s="22">
        <f t="shared" si="2"/>
        <v>70</v>
      </c>
      <c r="I81" s="23"/>
      <c r="J81" s="20" t="s">
        <v>27</v>
      </c>
      <c r="K81" s="6" t="s">
        <v>568</v>
      </c>
      <c r="L81" s="25"/>
      <c r="M81" s="25" t="s">
        <v>829</v>
      </c>
      <c r="N81" s="6"/>
      <c r="O81" s="6" t="s">
        <v>87</v>
      </c>
      <c r="P81" s="6">
        <v>150</v>
      </c>
      <c r="Q81" s="6">
        <v>42</v>
      </c>
      <c r="R81" s="26">
        <v>80</v>
      </c>
      <c r="S81" s="26"/>
      <c r="T81" s="26"/>
      <c r="U81" s="26"/>
      <c r="V81" s="6" t="s">
        <v>830</v>
      </c>
    </row>
    <row r="82" spans="1:22" s="4" customFormat="1">
      <c r="A82" s="20">
        <v>265</v>
      </c>
      <c r="B82" s="27">
        <v>46063</v>
      </c>
      <c r="C82" s="6" t="s">
        <v>831</v>
      </c>
      <c r="D82" s="6"/>
      <c r="E82" s="6" t="s">
        <v>40</v>
      </c>
      <c r="F82" s="33">
        <v>23867</v>
      </c>
      <c r="G82" s="21">
        <f>YEAR(F82)</f>
        <v>1965</v>
      </c>
      <c r="H82" s="22">
        <f t="shared" si="2"/>
        <v>61</v>
      </c>
      <c r="I82" s="23"/>
      <c r="J82" s="20" t="s">
        <v>27</v>
      </c>
      <c r="K82" s="6" t="s">
        <v>568</v>
      </c>
      <c r="L82" s="25"/>
      <c r="M82" s="25" t="s">
        <v>832</v>
      </c>
      <c r="N82" s="6"/>
      <c r="O82" s="6" t="s">
        <v>833</v>
      </c>
      <c r="P82" s="6">
        <v>156</v>
      </c>
      <c r="Q82" s="6">
        <v>60</v>
      </c>
      <c r="R82" s="26">
        <v>80</v>
      </c>
      <c r="S82" s="26"/>
      <c r="T82" s="26"/>
      <c r="U82" s="26"/>
      <c r="V82" s="6" t="s">
        <v>834</v>
      </c>
    </row>
    <row r="83" spans="1:22" s="4" customFormat="1" hidden="1">
      <c r="A83" s="17">
        <v>266</v>
      </c>
      <c r="B83" s="27">
        <v>46063</v>
      </c>
      <c r="C83" s="6" t="s">
        <v>835</v>
      </c>
      <c r="D83" s="6"/>
      <c r="E83" s="6" t="s">
        <v>2374</v>
      </c>
      <c r="F83" s="33" t="s">
        <v>836</v>
      </c>
      <c r="G83" s="21" t="str">
        <f>RIGHT(F83,4)</f>
        <v>1978</v>
      </c>
      <c r="H83" s="22">
        <f t="shared" si="2"/>
        <v>48</v>
      </c>
      <c r="I83" s="23"/>
      <c r="J83" s="20" t="s">
        <v>27</v>
      </c>
      <c r="K83" s="6" t="s">
        <v>568</v>
      </c>
      <c r="L83" s="25"/>
      <c r="M83" s="25" t="s">
        <v>837</v>
      </c>
      <c r="N83" s="6"/>
      <c r="O83" s="6" t="s">
        <v>113</v>
      </c>
      <c r="P83" s="6">
        <v>150</v>
      </c>
      <c r="Q83" s="6">
        <v>48</v>
      </c>
      <c r="R83" s="26">
        <v>78</v>
      </c>
      <c r="S83" s="26"/>
      <c r="T83" s="26"/>
      <c r="U83" s="26"/>
      <c r="V83" s="6" t="s">
        <v>838</v>
      </c>
    </row>
    <row r="84" spans="1:22" s="4" customFormat="1" hidden="1">
      <c r="A84" s="20">
        <v>267</v>
      </c>
      <c r="B84" s="27">
        <v>46063</v>
      </c>
      <c r="C84" s="6" t="s">
        <v>839</v>
      </c>
      <c r="D84" s="6"/>
      <c r="E84" s="6" t="s">
        <v>2374</v>
      </c>
      <c r="F84" s="33">
        <v>26299</v>
      </c>
      <c r="G84" s="21">
        <f>YEAR(F84)</f>
        <v>1972</v>
      </c>
      <c r="H84" s="22">
        <f t="shared" si="2"/>
        <v>54</v>
      </c>
      <c r="I84" s="23"/>
      <c r="J84" s="20" t="s">
        <v>27</v>
      </c>
      <c r="K84" s="6" t="s">
        <v>596</v>
      </c>
      <c r="L84" s="25"/>
      <c r="M84" s="25" t="s">
        <v>840</v>
      </c>
      <c r="N84" s="6"/>
      <c r="O84" s="6" t="s">
        <v>841</v>
      </c>
      <c r="P84" s="6">
        <v>160</v>
      </c>
      <c r="Q84" s="6">
        <v>55</v>
      </c>
      <c r="R84" s="26">
        <v>79</v>
      </c>
      <c r="S84" s="26"/>
      <c r="T84" s="26"/>
      <c r="U84" s="26"/>
      <c r="V84" s="6" t="s">
        <v>842</v>
      </c>
    </row>
    <row r="85" spans="1:22" s="4" customFormat="1" hidden="1">
      <c r="A85" s="17">
        <v>268</v>
      </c>
      <c r="B85" s="27">
        <v>46063</v>
      </c>
      <c r="C85" s="6" t="s">
        <v>843</v>
      </c>
      <c r="D85" s="6"/>
      <c r="E85" s="6" t="s">
        <v>2374</v>
      </c>
      <c r="F85" s="33" t="s">
        <v>844</v>
      </c>
      <c r="G85" s="21" t="str">
        <f>RIGHT(F85,4)</f>
        <v>1972</v>
      </c>
      <c r="H85" s="22">
        <f t="shared" si="2"/>
        <v>54</v>
      </c>
      <c r="I85" s="23"/>
      <c r="J85" s="20" t="s">
        <v>27</v>
      </c>
      <c r="K85" s="6" t="s">
        <v>568</v>
      </c>
      <c r="L85" s="25"/>
      <c r="M85" s="25" t="s">
        <v>845</v>
      </c>
      <c r="N85" s="6"/>
      <c r="O85" s="6" t="s">
        <v>113</v>
      </c>
      <c r="P85" s="6">
        <v>150</v>
      </c>
      <c r="Q85" s="6">
        <v>60</v>
      </c>
      <c r="R85" s="26">
        <v>72</v>
      </c>
      <c r="S85" s="26"/>
      <c r="T85" s="26"/>
      <c r="U85" s="26"/>
      <c r="V85" s="6" t="s">
        <v>846</v>
      </c>
    </row>
    <row r="86" spans="1:22" s="4" customFormat="1" hidden="1">
      <c r="A86" s="20">
        <v>269</v>
      </c>
      <c r="B86" s="27">
        <v>46063</v>
      </c>
      <c r="C86" s="6" t="s">
        <v>847</v>
      </c>
      <c r="D86" s="6"/>
      <c r="E86" s="6" t="s">
        <v>2374</v>
      </c>
      <c r="F86" s="33" t="s">
        <v>848</v>
      </c>
      <c r="G86" s="21" t="str">
        <f>RIGHT(F86,4)</f>
        <v>1978</v>
      </c>
      <c r="H86" s="22">
        <f t="shared" si="2"/>
        <v>48</v>
      </c>
      <c r="I86" s="23"/>
      <c r="J86" s="20" t="s">
        <v>27</v>
      </c>
      <c r="K86" s="6"/>
      <c r="L86" s="25"/>
      <c r="M86" s="25" t="s">
        <v>849</v>
      </c>
      <c r="N86" s="6"/>
      <c r="O86" s="6" t="s">
        <v>60</v>
      </c>
      <c r="P86" s="6">
        <v>165</v>
      </c>
      <c r="Q86" s="6">
        <v>53</v>
      </c>
      <c r="R86" s="26">
        <v>75</v>
      </c>
      <c r="S86" s="26"/>
      <c r="T86" s="26"/>
      <c r="U86" s="26"/>
      <c r="V86" s="6" t="s">
        <v>850</v>
      </c>
    </row>
    <row r="87" spans="1:22" s="4" customFormat="1">
      <c r="A87" s="17">
        <v>270</v>
      </c>
      <c r="B87" s="27">
        <v>46063</v>
      </c>
      <c r="C87" s="6" t="s">
        <v>851</v>
      </c>
      <c r="D87" s="6"/>
      <c r="E87" s="6" t="s">
        <v>40</v>
      </c>
      <c r="F87" s="33">
        <v>13578</v>
      </c>
      <c r="G87" s="21">
        <f>YEAR(F87)</f>
        <v>1937</v>
      </c>
      <c r="H87" s="22">
        <f t="shared" si="2"/>
        <v>89</v>
      </c>
      <c r="I87" s="23"/>
      <c r="J87" s="20" t="s">
        <v>27</v>
      </c>
      <c r="K87" s="6" t="s">
        <v>568</v>
      </c>
      <c r="L87" s="25"/>
      <c r="M87" s="25" t="s">
        <v>852</v>
      </c>
      <c r="N87" s="6"/>
      <c r="O87" s="6" t="s">
        <v>143</v>
      </c>
      <c r="P87" s="6">
        <v>145</v>
      </c>
      <c r="Q87" s="6">
        <v>35</v>
      </c>
      <c r="R87" s="26">
        <v>80</v>
      </c>
      <c r="S87" s="26"/>
      <c r="T87" s="26"/>
      <c r="U87" s="26"/>
      <c r="V87" s="6" t="s">
        <v>853</v>
      </c>
    </row>
    <row r="88" spans="1:22" s="4" customFormat="1">
      <c r="A88" s="17">
        <v>271</v>
      </c>
      <c r="B88" s="27">
        <v>46063</v>
      </c>
      <c r="C88" s="6" t="s">
        <v>854</v>
      </c>
      <c r="D88" s="6"/>
      <c r="E88" s="6" t="s">
        <v>40</v>
      </c>
      <c r="F88" s="33" t="s">
        <v>855</v>
      </c>
      <c r="G88" s="21" t="str">
        <f>RIGHT(F88,4)</f>
        <v>1938</v>
      </c>
      <c r="H88" s="22">
        <f t="shared" si="2"/>
        <v>88</v>
      </c>
      <c r="I88" s="23"/>
      <c r="J88" s="20" t="s">
        <v>27</v>
      </c>
      <c r="K88" s="6" t="s">
        <v>568</v>
      </c>
      <c r="L88" s="25"/>
      <c r="M88" s="25" t="s">
        <v>856</v>
      </c>
      <c r="N88" s="6"/>
      <c r="O88" s="6" t="s">
        <v>34</v>
      </c>
      <c r="P88" s="6"/>
      <c r="Q88" s="6">
        <v>40</v>
      </c>
      <c r="R88" s="26">
        <v>80</v>
      </c>
      <c r="S88" s="26"/>
      <c r="T88" s="26"/>
      <c r="U88" s="26"/>
      <c r="V88" s="6" t="s">
        <v>857</v>
      </c>
    </row>
    <row r="89" spans="1:22" s="4" customFormat="1">
      <c r="A89" s="20">
        <v>272</v>
      </c>
      <c r="B89" s="27">
        <v>46063</v>
      </c>
      <c r="C89" s="6" t="s">
        <v>858</v>
      </c>
      <c r="D89" s="6"/>
      <c r="E89" s="6" t="s">
        <v>40</v>
      </c>
      <c r="F89" s="33">
        <v>15836</v>
      </c>
      <c r="G89" s="21">
        <f>YEAR(F89)</f>
        <v>1943</v>
      </c>
      <c r="H89" s="22">
        <f t="shared" si="2"/>
        <v>83</v>
      </c>
      <c r="I89" s="23" t="s">
        <v>27</v>
      </c>
      <c r="J89" s="20"/>
      <c r="K89" s="6" t="s">
        <v>568</v>
      </c>
      <c r="L89" s="25"/>
      <c r="M89" s="25" t="s">
        <v>859</v>
      </c>
      <c r="N89" s="6"/>
      <c r="O89" s="6" t="s">
        <v>273</v>
      </c>
      <c r="P89" s="6">
        <v>161</v>
      </c>
      <c r="Q89" s="6">
        <v>42</v>
      </c>
      <c r="R89" s="26">
        <v>75</v>
      </c>
      <c r="S89" s="26"/>
      <c r="T89" s="26"/>
      <c r="U89" s="26"/>
      <c r="V89" s="6" t="s">
        <v>860</v>
      </c>
    </row>
    <row r="90" spans="1:22" s="4" customFormat="1" hidden="1">
      <c r="A90" s="17">
        <v>273</v>
      </c>
      <c r="B90" s="27">
        <v>46063</v>
      </c>
      <c r="C90" s="6" t="s">
        <v>861</v>
      </c>
      <c r="D90" s="6"/>
      <c r="E90" s="6" t="s">
        <v>2374</v>
      </c>
      <c r="F90" s="33">
        <v>26549</v>
      </c>
      <c r="G90" s="21">
        <f>YEAR(F90)</f>
        <v>1972</v>
      </c>
      <c r="H90" s="22">
        <f t="shared" si="2"/>
        <v>54</v>
      </c>
      <c r="I90" s="23"/>
      <c r="J90" s="20" t="s">
        <v>27</v>
      </c>
      <c r="K90" s="6" t="s">
        <v>568</v>
      </c>
      <c r="L90" s="25"/>
      <c r="M90" s="25"/>
      <c r="N90" s="6"/>
      <c r="O90" s="6" t="s">
        <v>30</v>
      </c>
      <c r="P90" s="6">
        <v>152</v>
      </c>
      <c r="Q90" s="6">
        <v>47</v>
      </c>
      <c r="R90" s="26">
        <v>69</v>
      </c>
      <c r="S90" s="26"/>
      <c r="T90" s="26"/>
      <c r="U90" s="26"/>
      <c r="V90" s="6" t="s">
        <v>862</v>
      </c>
    </row>
    <row r="91" spans="1:22" s="4" customFormat="1">
      <c r="A91" s="20">
        <v>274</v>
      </c>
      <c r="B91" s="27">
        <v>46063</v>
      </c>
      <c r="C91" s="6" t="s">
        <v>863</v>
      </c>
      <c r="D91" s="6"/>
      <c r="E91" s="6" t="s">
        <v>40</v>
      </c>
      <c r="F91" s="33" t="s">
        <v>864</v>
      </c>
      <c r="G91" s="21" t="str">
        <f>RIGHT(F91,4)</f>
        <v>1942</v>
      </c>
      <c r="H91" s="22">
        <f t="shared" si="2"/>
        <v>84</v>
      </c>
      <c r="I91" s="23" t="s">
        <v>27</v>
      </c>
      <c r="J91" s="20"/>
      <c r="K91" s="6" t="s">
        <v>568</v>
      </c>
      <c r="L91" s="25"/>
      <c r="M91" s="25" t="s">
        <v>865</v>
      </c>
      <c r="N91" s="6"/>
      <c r="O91" s="6" t="s">
        <v>60</v>
      </c>
      <c r="P91" s="6">
        <v>160</v>
      </c>
      <c r="Q91" s="6">
        <v>50</v>
      </c>
      <c r="R91" s="26">
        <v>80</v>
      </c>
      <c r="S91" s="26"/>
      <c r="T91" s="26"/>
      <c r="U91" s="26"/>
      <c r="V91" s="6" t="s">
        <v>866</v>
      </c>
    </row>
    <row r="92" spans="1:22" s="4" customFormat="1">
      <c r="A92" s="17">
        <v>275</v>
      </c>
      <c r="B92" s="27">
        <v>46063</v>
      </c>
      <c r="C92" s="6" t="s">
        <v>867</v>
      </c>
      <c r="D92" s="6"/>
      <c r="E92" s="6" t="s">
        <v>40</v>
      </c>
      <c r="F92" s="33">
        <v>16569</v>
      </c>
      <c r="G92" s="21">
        <f>YEAR(F92)</f>
        <v>1945</v>
      </c>
      <c r="H92" s="22">
        <f t="shared" si="2"/>
        <v>81</v>
      </c>
      <c r="I92" s="23"/>
      <c r="J92" s="20" t="s">
        <v>27</v>
      </c>
      <c r="K92" s="6" t="s">
        <v>568</v>
      </c>
      <c r="L92" s="25"/>
      <c r="M92" s="25" t="s">
        <v>868</v>
      </c>
      <c r="N92" s="6"/>
      <c r="O92" s="6" t="s">
        <v>143</v>
      </c>
      <c r="P92" s="6">
        <v>155</v>
      </c>
      <c r="Q92" s="6">
        <v>54</v>
      </c>
      <c r="R92" s="26">
        <v>80</v>
      </c>
      <c r="S92" s="26"/>
      <c r="T92" s="26"/>
      <c r="U92" s="26"/>
      <c r="V92" s="6" t="s">
        <v>869</v>
      </c>
    </row>
    <row r="93" spans="1:22" s="4" customFormat="1" hidden="1">
      <c r="A93" s="20">
        <v>276</v>
      </c>
      <c r="B93" s="27">
        <v>46063</v>
      </c>
      <c r="C93" s="6" t="s">
        <v>870</v>
      </c>
      <c r="D93" s="6"/>
      <c r="E93" s="6" t="s">
        <v>2374</v>
      </c>
      <c r="F93" s="33">
        <v>27583</v>
      </c>
      <c r="G93" s="21">
        <f>YEAR(F93)</f>
        <v>1975</v>
      </c>
      <c r="H93" s="22">
        <f t="shared" si="2"/>
        <v>51</v>
      </c>
      <c r="I93" s="23"/>
      <c r="J93" s="20" t="s">
        <v>27</v>
      </c>
      <c r="K93" s="6" t="s">
        <v>568</v>
      </c>
      <c r="L93" s="25"/>
      <c r="M93" s="25" t="s">
        <v>871</v>
      </c>
      <c r="N93" s="6"/>
      <c r="O93" s="6" t="s">
        <v>504</v>
      </c>
      <c r="P93" s="6">
        <v>152</v>
      </c>
      <c r="Q93" s="6">
        <v>50</v>
      </c>
      <c r="R93" s="26">
        <v>72</v>
      </c>
      <c r="S93" s="26"/>
      <c r="T93" s="26"/>
      <c r="U93" s="26"/>
      <c r="V93" s="6" t="s">
        <v>872</v>
      </c>
    </row>
    <row r="94" spans="1:22" s="4" customFormat="1" hidden="1">
      <c r="A94" s="17">
        <v>277</v>
      </c>
      <c r="B94" s="27">
        <v>46063</v>
      </c>
      <c r="C94" s="6" t="s">
        <v>351</v>
      </c>
      <c r="D94" s="6"/>
      <c r="E94" s="6" t="s">
        <v>2374</v>
      </c>
      <c r="F94" s="33">
        <v>28126</v>
      </c>
      <c r="G94" s="21">
        <f>YEAR(F94)</f>
        <v>1977</v>
      </c>
      <c r="H94" s="22">
        <f t="shared" si="2"/>
        <v>49</v>
      </c>
      <c r="I94" s="23"/>
      <c r="J94" s="20" t="s">
        <v>27</v>
      </c>
      <c r="K94" s="6"/>
      <c r="L94" s="25"/>
      <c r="M94" s="25" t="s">
        <v>873</v>
      </c>
      <c r="N94" s="6"/>
      <c r="O94" s="6" t="s">
        <v>687</v>
      </c>
      <c r="P94" s="6">
        <v>150</v>
      </c>
      <c r="Q94" s="6">
        <v>55</v>
      </c>
      <c r="R94" s="26">
        <v>90</v>
      </c>
      <c r="S94" s="26"/>
      <c r="T94" s="26"/>
      <c r="U94" s="26"/>
      <c r="V94" s="6" t="s">
        <v>874</v>
      </c>
    </row>
    <row r="95" spans="1:22" s="4" customFormat="1">
      <c r="A95" s="20">
        <v>278</v>
      </c>
      <c r="B95" s="27">
        <v>46063</v>
      </c>
      <c r="C95" s="6" t="s">
        <v>875</v>
      </c>
      <c r="D95" s="6"/>
      <c r="E95" s="6" t="s">
        <v>40</v>
      </c>
      <c r="F95" s="33">
        <v>15707</v>
      </c>
      <c r="G95" s="21">
        <f>YEAR(F95)</f>
        <v>1943</v>
      </c>
      <c r="H95" s="22">
        <f t="shared" si="2"/>
        <v>83</v>
      </c>
      <c r="I95" s="23" t="s">
        <v>27</v>
      </c>
      <c r="J95" s="20"/>
      <c r="K95" s="6" t="s">
        <v>568</v>
      </c>
      <c r="L95" s="25"/>
      <c r="M95" s="25" t="s">
        <v>876</v>
      </c>
      <c r="N95" s="6"/>
      <c r="O95" s="6" t="s">
        <v>724</v>
      </c>
      <c r="P95" s="6">
        <v>155</v>
      </c>
      <c r="Q95" s="6">
        <v>48</v>
      </c>
      <c r="R95" s="26">
        <v>76</v>
      </c>
      <c r="S95" s="26"/>
      <c r="T95" s="26"/>
      <c r="U95" s="26"/>
      <c r="V95" s="6" t="s">
        <v>877</v>
      </c>
    </row>
    <row r="96" spans="1:22" s="4" customFormat="1">
      <c r="A96" s="17">
        <v>279</v>
      </c>
      <c r="B96" s="27">
        <v>46063</v>
      </c>
      <c r="C96" s="6" t="s">
        <v>878</v>
      </c>
      <c r="D96" s="6"/>
      <c r="E96" s="6" t="s">
        <v>40</v>
      </c>
      <c r="F96" s="33" t="s">
        <v>879</v>
      </c>
      <c r="G96" s="21" t="str">
        <f>RIGHT(F96,4)</f>
        <v>1945</v>
      </c>
      <c r="H96" s="22">
        <f t="shared" si="2"/>
        <v>81</v>
      </c>
      <c r="I96" s="23"/>
      <c r="J96" s="20" t="s">
        <v>27</v>
      </c>
      <c r="K96" s="6" t="s">
        <v>568</v>
      </c>
      <c r="L96" s="25"/>
      <c r="M96" s="25" t="s">
        <v>880</v>
      </c>
      <c r="N96" s="6"/>
      <c r="O96" s="6" t="s">
        <v>60</v>
      </c>
      <c r="P96" s="6">
        <v>150</v>
      </c>
      <c r="Q96" s="6">
        <v>40</v>
      </c>
      <c r="R96" s="26">
        <v>72</v>
      </c>
      <c r="S96" s="26"/>
      <c r="T96" s="26"/>
      <c r="U96" s="26"/>
      <c r="V96" s="6" t="s">
        <v>881</v>
      </c>
    </row>
    <row r="97" spans="1:22" s="4" customFormat="1" hidden="1">
      <c r="A97" s="20">
        <v>280</v>
      </c>
      <c r="B97" s="27">
        <v>46063</v>
      </c>
      <c r="C97" s="6" t="s">
        <v>882</v>
      </c>
      <c r="D97" s="6"/>
      <c r="E97" s="6" t="s">
        <v>2374</v>
      </c>
      <c r="F97" s="33" t="s">
        <v>883</v>
      </c>
      <c r="G97" s="21" t="str">
        <f>RIGHT(F97,4)</f>
        <v>1973</v>
      </c>
      <c r="H97" s="22">
        <f t="shared" si="2"/>
        <v>53</v>
      </c>
      <c r="I97" s="23" t="s">
        <v>27</v>
      </c>
      <c r="J97" s="20"/>
      <c r="K97" s="6" t="s">
        <v>568</v>
      </c>
      <c r="L97" s="25"/>
      <c r="M97" s="25" t="s">
        <v>884</v>
      </c>
      <c r="N97" s="6"/>
      <c r="O97" s="6" t="s">
        <v>87</v>
      </c>
      <c r="P97" s="6">
        <v>155</v>
      </c>
      <c r="Q97" s="6">
        <v>51</v>
      </c>
      <c r="R97" s="26">
        <v>78</v>
      </c>
      <c r="S97" s="26"/>
      <c r="T97" s="26"/>
      <c r="U97" s="26"/>
      <c r="V97" s="6" t="s">
        <v>574</v>
      </c>
    </row>
    <row r="98" spans="1:22" s="4" customFormat="1" hidden="1">
      <c r="A98" s="17">
        <v>281</v>
      </c>
      <c r="B98" s="27">
        <v>46063</v>
      </c>
      <c r="C98" s="6" t="s">
        <v>885</v>
      </c>
      <c r="D98" s="6"/>
      <c r="E98" s="6" t="s">
        <v>2374</v>
      </c>
      <c r="F98" s="33">
        <v>28339</v>
      </c>
      <c r="G98" s="21">
        <f>YEAR(F98)</f>
        <v>1977</v>
      </c>
      <c r="H98" s="22">
        <f t="shared" si="2"/>
        <v>49</v>
      </c>
      <c r="I98" s="23"/>
      <c r="J98" s="20" t="s">
        <v>27</v>
      </c>
      <c r="K98" s="6" t="s">
        <v>568</v>
      </c>
      <c r="L98" s="25"/>
      <c r="M98" s="25" t="s">
        <v>886</v>
      </c>
      <c r="N98" s="6"/>
      <c r="O98" s="6" t="s">
        <v>634</v>
      </c>
      <c r="P98" s="6">
        <v>150</v>
      </c>
      <c r="Q98" s="6">
        <v>65</v>
      </c>
      <c r="R98" s="26">
        <v>75</v>
      </c>
      <c r="S98" s="26"/>
      <c r="T98" s="26"/>
      <c r="U98" s="26"/>
      <c r="V98" s="6" t="s">
        <v>887</v>
      </c>
    </row>
    <row r="99" spans="1:22" s="4" customFormat="1">
      <c r="A99" s="20">
        <v>282</v>
      </c>
      <c r="B99" s="27">
        <v>46063</v>
      </c>
      <c r="C99" s="6" t="s">
        <v>468</v>
      </c>
      <c r="D99" s="6"/>
      <c r="E99" s="6" t="s">
        <v>40</v>
      </c>
      <c r="F99" s="33" t="s">
        <v>888</v>
      </c>
      <c r="G99" s="21" t="str">
        <f>RIGHT(F99,4)</f>
        <v>1953</v>
      </c>
      <c r="H99" s="22">
        <f t="shared" si="2"/>
        <v>73</v>
      </c>
      <c r="I99" s="23" t="s">
        <v>27</v>
      </c>
      <c r="J99" s="20"/>
      <c r="K99" s="6" t="s">
        <v>568</v>
      </c>
      <c r="L99" s="25"/>
      <c r="M99" s="25" t="s">
        <v>889</v>
      </c>
      <c r="N99" s="6"/>
      <c r="O99" s="6" t="s">
        <v>113</v>
      </c>
      <c r="P99" s="6">
        <v>150</v>
      </c>
      <c r="Q99" s="6">
        <v>45</v>
      </c>
      <c r="R99" s="26">
        <v>75</v>
      </c>
      <c r="S99" s="26"/>
      <c r="T99" s="26"/>
      <c r="U99" s="26"/>
      <c r="V99" s="6" t="s">
        <v>890</v>
      </c>
    </row>
    <row r="100" spans="1:22" s="4" customFormat="1" hidden="1">
      <c r="A100" s="17">
        <v>283</v>
      </c>
      <c r="B100" s="27">
        <v>46063</v>
      </c>
      <c r="C100" s="6" t="s">
        <v>891</v>
      </c>
      <c r="D100" s="6"/>
      <c r="E100" s="6" t="s">
        <v>2374</v>
      </c>
      <c r="F100" s="33">
        <v>24475</v>
      </c>
      <c r="G100" s="21">
        <f>YEAR(F100)</f>
        <v>1967</v>
      </c>
      <c r="H100" s="22">
        <f t="shared" si="2"/>
        <v>59</v>
      </c>
      <c r="I100" s="23" t="s">
        <v>27</v>
      </c>
      <c r="J100" s="20"/>
      <c r="K100" s="6" t="s">
        <v>568</v>
      </c>
      <c r="L100" s="25"/>
      <c r="M100" s="25" t="s">
        <v>892</v>
      </c>
      <c r="N100" s="6"/>
      <c r="O100" s="6" t="s">
        <v>87</v>
      </c>
      <c r="P100" s="6">
        <v>160</v>
      </c>
      <c r="Q100" s="6">
        <v>41</v>
      </c>
      <c r="R100" s="26">
        <v>80</v>
      </c>
      <c r="S100" s="26"/>
      <c r="T100" s="26"/>
      <c r="U100" s="26"/>
      <c r="V100" s="6" t="s">
        <v>893</v>
      </c>
    </row>
    <row r="101" spans="1:22" s="4" customFormat="1" hidden="1">
      <c r="A101" s="20">
        <v>284</v>
      </c>
      <c r="B101" s="27">
        <v>46063</v>
      </c>
      <c r="C101" s="6" t="s">
        <v>894</v>
      </c>
      <c r="D101" s="6"/>
      <c r="E101" s="6" t="s">
        <v>2374</v>
      </c>
      <c r="F101" s="33">
        <v>24934</v>
      </c>
      <c r="G101" s="21">
        <f>YEAR(F101)</f>
        <v>1968</v>
      </c>
      <c r="H101" s="22">
        <f t="shared" si="2"/>
        <v>58</v>
      </c>
      <c r="I101" s="23" t="s">
        <v>27</v>
      </c>
      <c r="J101" s="20"/>
      <c r="K101" s="6" t="s">
        <v>568</v>
      </c>
      <c r="L101" s="25"/>
      <c r="M101" s="25" t="s">
        <v>895</v>
      </c>
      <c r="N101" s="6"/>
      <c r="O101" s="6" t="s">
        <v>87</v>
      </c>
      <c r="P101" s="6"/>
      <c r="Q101" s="6"/>
      <c r="R101" s="26"/>
      <c r="S101" s="26"/>
      <c r="T101" s="26"/>
      <c r="U101" s="26"/>
      <c r="V101" s="6" t="s">
        <v>896</v>
      </c>
    </row>
    <row r="102" spans="1:22" s="4" customFormat="1">
      <c r="A102" s="17">
        <v>285</v>
      </c>
      <c r="B102" s="27">
        <v>46063</v>
      </c>
      <c r="C102" s="6" t="s">
        <v>897</v>
      </c>
      <c r="D102" s="6"/>
      <c r="E102" s="6" t="s">
        <v>40</v>
      </c>
      <c r="F102" s="33">
        <v>16653</v>
      </c>
      <c r="G102" s="21">
        <f>YEAR(F102)</f>
        <v>1945</v>
      </c>
      <c r="H102" s="22">
        <f t="shared" si="2"/>
        <v>81</v>
      </c>
      <c r="I102" s="23" t="s">
        <v>27</v>
      </c>
      <c r="J102" s="20"/>
      <c r="K102" s="6" t="s">
        <v>568</v>
      </c>
      <c r="L102" s="25"/>
      <c r="M102" s="25" t="s">
        <v>898</v>
      </c>
      <c r="N102" s="6"/>
      <c r="O102" s="6" t="s">
        <v>313</v>
      </c>
      <c r="P102" s="6">
        <v>156</v>
      </c>
      <c r="Q102" s="6">
        <v>50</v>
      </c>
      <c r="R102" s="26">
        <v>72</v>
      </c>
      <c r="S102" s="26"/>
      <c r="T102" s="26"/>
      <c r="U102" s="26"/>
      <c r="V102" s="6" t="s">
        <v>899</v>
      </c>
    </row>
    <row r="103" spans="1:22" s="4" customFormat="1" hidden="1">
      <c r="A103" s="20">
        <v>286</v>
      </c>
      <c r="B103" s="27">
        <v>46063</v>
      </c>
      <c r="C103" s="6" t="s">
        <v>900</v>
      </c>
      <c r="D103" s="6"/>
      <c r="E103" s="6" t="s">
        <v>2374</v>
      </c>
      <c r="F103" s="33" t="s">
        <v>901</v>
      </c>
      <c r="G103" s="21" t="str">
        <f>RIGHT(F103,4)</f>
        <v>1969</v>
      </c>
      <c r="H103" s="22">
        <f t="shared" si="2"/>
        <v>57</v>
      </c>
      <c r="I103" s="23"/>
      <c r="J103" s="20" t="s">
        <v>27</v>
      </c>
      <c r="K103" s="6" t="s">
        <v>568</v>
      </c>
      <c r="L103" s="25"/>
      <c r="M103" s="25" t="s">
        <v>902</v>
      </c>
      <c r="N103" s="6"/>
      <c r="O103" s="6" t="s">
        <v>903</v>
      </c>
      <c r="P103" s="6">
        <v>151</v>
      </c>
      <c r="Q103" s="6">
        <v>52</v>
      </c>
      <c r="R103" s="26">
        <v>78</v>
      </c>
      <c r="S103" s="26"/>
      <c r="T103" s="26"/>
      <c r="U103" s="26"/>
      <c r="V103" s="6" t="s">
        <v>904</v>
      </c>
    </row>
    <row r="104" spans="1:22" s="4" customFormat="1">
      <c r="A104" s="17">
        <v>287</v>
      </c>
      <c r="B104" s="27">
        <v>46063</v>
      </c>
      <c r="C104" s="6" t="s">
        <v>905</v>
      </c>
      <c r="D104" s="6"/>
      <c r="E104" s="6" t="s">
        <v>40</v>
      </c>
      <c r="F104" s="33">
        <v>23933</v>
      </c>
      <c r="G104" s="21">
        <f>YEAR(F104)</f>
        <v>1965</v>
      </c>
      <c r="H104" s="22">
        <f t="shared" si="2"/>
        <v>61</v>
      </c>
      <c r="I104" s="23"/>
      <c r="J104" s="20" t="s">
        <v>27</v>
      </c>
      <c r="K104" s="6" t="s">
        <v>568</v>
      </c>
      <c r="L104" s="25"/>
      <c r="M104" s="25" t="s">
        <v>906</v>
      </c>
      <c r="N104" s="6"/>
      <c r="O104" s="6" t="s">
        <v>87</v>
      </c>
      <c r="P104" s="6">
        <v>158</v>
      </c>
      <c r="Q104" s="6">
        <v>52</v>
      </c>
      <c r="R104" s="26">
        <v>75</v>
      </c>
      <c r="S104" s="26"/>
      <c r="T104" s="26"/>
      <c r="U104" s="26"/>
      <c r="V104" s="6" t="s">
        <v>907</v>
      </c>
    </row>
    <row r="105" spans="1:22" s="4" customFormat="1">
      <c r="A105" s="20">
        <v>288</v>
      </c>
      <c r="B105" s="27">
        <v>46063</v>
      </c>
      <c r="C105" s="6" t="s">
        <v>908</v>
      </c>
      <c r="D105" s="6"/>
      <c r="E105" s="6" t="s">
        <v>40</v>
      </c>
      <c r="F105" s="33">
        <v>15040</v>
      </c>
      <c r="G105" s="21">
        <f>YEAR(F105)</f>
        <v>1941</v>
      </c>
      <c r="H105" s="22">
        <f t="shared" si="2"/>
        <v>85</v>
      </c>
      <c r="I105" s="23" t="s">
        <v>27</v>
      </c>
      <c r="J105" s="20"/>
      <c r="K105" s="6" t="s">
        <v>568</v>
      </c>
      <c r="L105" s="25"/>
      <c r="M105" s="25" t="s">
        <v>909</v>
      </c>
      <c r="N105" s="6"/>
      <c r="O105" s="6" t="s">
        <v>87</v>
      </c>
      <c r="P105" s="6">
        <v>161</v>
      </c>
      <c r="Q105" s="6">
        <v>50</v>
      </c>
      <c r="R105" s="26">
        <v>75</v>
      </c>
      <c r="S105" s="26"/>
      <c r="T105" s="26"/>
      <c r="U105" s="26"/>
      <c r="V105" s="6" t="s">
        <v>910</v>
      </c>
    </row>
    <row r="106" spans="1:22" s="4" customFormat="1" hidden="1">
      <c r="A106" s="17">
        <v>289</v>
      </c>
      <c r="B106" s="27">
        <v>46063</v>
      </c>
      <c r="C106" s="6" t="s">
        <v>911</v>
      </c>
      <c r="D106" s="6"/>
      <c r="E106" s="6" t="s">
        <v>609</v>
      </c>
      <c r="F106" s="33" t="s">
        <v>912</v>
      </c>
      <c r="G106" s="21" t="str">
        <f>RIGHT(F106,4)</f>
        <v>2004</v>
      </c>
      <c r="H106" s="22">
        <f t="shared" si="2"/>
        <v>22</v>
      </c>
      <c r="I106" s="23" t="s">
        <v>27</v>
      </c>
      <c r="J106" s="20"/>
      <c r="K106" s="6" t="s">
        <v>534</v>
      </c>
      <c r="L106" s="25"/>
      <c r="M106" s="25" t="s">
        <v>913</v>
      </c>
      <c r="N106" s="6"/>
      <c r="O106" s="6" t="s">
        <v>60</v>
      </c>
      <c r="P106" s="6">
        <v>172</v>
      </c>
      <c r="Q106" s="6">
        <v>50</v>
      </c>
      <c r="R106" s="26">
        <v>79</v>
      </c>
      <c r="S106" s="26"/>
      <c r="T106" s="26"/>
      <c r="U106" s="26"/>
      <c r="V106" s="6" t="s">
        <v>914</v>
      </c>
    </row>
    <row r="107" spans="1:22" s="4" customFormat="1" hidden="1">
      <c r="A107" s="20">
        <v>290</v>
      </c>
      <c r="B107" s="27">
        <v>46063</v>
      </c>
      <c r="C107" s="6" t="s">
        <v>915</v>
      </c>
      <c r="D107" s="6"/>
      <c r="E107" s="6" t="s">
        <v>2374</v>
      </c>
      <c r="F107" s="33">
        <v>27150</v>
      </c>
      <c r="G107" s="21">
        <f>YEAR(F107)</f>
        <v>1974</v>
      </c>
      <c r="H107" s="22">
        <f t="shared" si="2"/>
        <v>52</v>
      </c>
      <c r="I107" s="23"/>
      <c r="J107" s="20" t="s">
        <v>27</v>
      </c>
      <c r="K107" s="6" t="s">
        <v>568</v>
      </c>
      <c r="L107" s="25"/>
      <c r="M107" s="25" t="s">
        <v>916</v>
      </c>
      <c r="N107" s="6"/>
      <c r="O107" s="6" t="s">
        <v>87</v>
      </c>
      <c r="P107" s="6">
        <v>151</v>
      </c>
      <c r="Q107" s="6">
        <v>50</v>
      </c>
      <c r="R107" s="26">
        <v>80</v>
      </c>
      <c r="S107" s="26"/>
      <c r="T107" s="26"/>
      <c r="U107" s="26"/>
      <c r="V107" s="6" t="s">
        <v>917</v>
      </c>
    </row>
    <row r="108" spans="1:22" s="4" customFormat="1">
      <c r="A108" s="17">
        <v>291</v>
      </c>
      <c r="B108" s="27">
        <v>46063</v>
      </c>
      <c r="C108" s="6" t="s">
        <v>918</v>
      </c>
      <c r="D108" s="6"/>
      <c r="E108" s="6" t="s">
        <v>40</v>
      </c>
      <c r="F108" s="33">
        <v>13519</v>
      </c>
      <c r="G108" s="21">
        <f>YEAR(F108)</f>
        <v>1937</v>
      </c>
      <c r="H108" s="22">
        <f t="shared" si="2"/>
        <v>89</v>
      </c>
      <c r="I108" s="23" t="s">
        <v>27</v>
      </c>
      <c r="J108" s="20"/>
      <c r="K108" s="6" t="s">
        <v>596</v>
      </c>
      <c r="L108" s="25"/>
      <c r="M108" s="25" t="s">
        <v>919</v>
      </c>
      <c r="N108" s="6"/>
      <c r="O108" s="6" t="s">
        <v>42</v>
      </c>
      <c r="P108" s="6">
        <v>155</v>
      </c>
      <c r="Q108" s="6">
        <v>45</v>
      </c>
      <c r="R108" s="26">
        <v>79</v>
      </c>
      <c r="S108" s="26"/>
      <c r="T108" s="26"/>
      <c r="U108" s="26"/>
      <c r="V108" s="6" t="s">
        <v>920</v>
      </c>
    </row>
    <row r="109" spans="1:22" s="4" customFormat="1" hidden="1">
      <c r="A109" s="20">
        <v>292</v>
      </c>
      <c r="B109" s="27">
        <v>46063</v>
      </c>
      <c r="C109" s="6" t="s">
        <v>921</v>
      </c>
      <c r="D109" s="6"/>
      <c r="E109" s="6" t="s">
        <v>2374</v>
      </c>
      <c r="F109" s="33" t="s">
        <v>922</v>
      </c>
      <c r="G109" s="21" t="str">
        <f>RIGHT(F109,4)</f>
        <v>1968</v>
      </c>
      <c r="H109" s="22">
        <f t="shared" si="2"/>
        <v>58</v>
      </c>
      <c r="I109" s="23" t="s">
        <v>27</v>
      </c>
      <c r="J109" s="20"/>
      <c r="K109" s="6" t="s">
        <v>596</v>
      </c>
      <c r="L109" s="25"/>
      <c r="M109" s="25" t="s">
        <v>923</v>
      </c>
      <c r="N109" s="6"/>
      <c r="O109" s="6" t="s">
        <v>284</v>
      </c>
      <c r="P109" s="6">
        <v>169</v>
      </c>
      <c r="Q109" s="6">
        <v>54</v>
      </c>
      <c r="R109" s="26">
        <v>77</v>
      </c>
      <c r="S109" s="26"/>
      <c r="T109" s="26"/>
      <c r="U109" s="26"/>
      <c r="V109" s="6" t="s">
        <v>924</v>
      </c>
    </row>
    <row r="110" spans="1:22" s="4" customFormat="1" hidden="1">
      <c r="A110" s="17">
        <v>293</v>
      </c>
      <c r="B110" s="27">
        <v>46063</v>
      </c>
      <c r="C110" s="6" t="s">
        <v>925</v>
      </c>
      <c r="D110" s="6"/>
      <c r="E110" s="6" t="s">
        <v>2374</v>
      </c>
      <c r="F110" s="33">
        <v>26332</v>
      </c>
      <c r="G110" s="21">
        <f>YEAR(F110)</f>
        <v>1972</v>
      </c>
      <c r="H110" s="22">
        <f t="shared" si="2"/>
        <v>54</v>
      </c>
      <c r="I110" s="23"/>
      <c r="J110" s="20" t="s">
        <v>27</v>
      </c>
      <c r="K110" s="6" t="s">
        <v>596</v>
      </c>
      <c r="L110" s="25"/>
      <c r="M110" s="25" t="s">
        <v>926</v>
      </c>
      <c r="N110" s="6"/>
      <c r="O110" s="6" t="s">
        <v>87</v>
      </c>
      <c r="P110" s="6">
        <v>154</v>
      </c>
      <c r="Q110" s="6">
        <v>52</v>
      </c>
      <c r="R110" s="26">
        <v>80</v>
      </c>
      <c r="S110" s="26"/>
      <c r="T110" s="26"/>
      <c r="U110" s="26"/>
      <c r="V110" s="6" t="s">
        <v>927</v>
      </c>
    </row>
    <row r="111" spans="1:22" s="4" customFormat="1" hidden="1">
      <c r="A111" s="20">
        <v>294</v>
      </c>
      <c r="B111" s="27">
        <v>46063</v>
      </c>
      <c r="C111" s="6" t="s">
        <v>928</v>
      </c>
      <c r="D111" s="6"/>
      <c r="E111" s="6" t="s">
        <v>2374</v>
      </c>
      <c r="F111" s="33">
        <v>26363</v>
      </c>
      <c r="G111" s="21">
        <f>YEAR(F111)</f>
        <v>1972</v>
      </c>
      <c r="H111" s="22">
        <f t="shared" si="2"/>
        <v>54</v>
      </c>
      <c r="I111" s="23" t="s">
        <v>27</v>
      </c>
      <c r="J111" s="20"/>
      <c r="K111" s="6" t="s">
        <v>596</v>
      </c>
      <c r="L111" s="25"/>
      <c r="M111" s="25" t="s">
        <v>929</v>
      </c>
      <c r="N111" s="6"/>
      <c r="O111" s="6" t="s">
        <v>930</v>
      </c>
      <c r="P111" s="6">
        <v>165</v>
      </c>
      <c r="Q111" s="6">
        <v>52</v>
      </c>
      <c r="R111" s="26">
        <v>85</v>
      </c>
      <c r="S111" s="26"/>
      <c r="T111" s="26"/>
      <c r="U111" s="26"/>
      <c r="V111" s="6" t="s">
        <v>931</v>
      </c>
    </row>
    <row r="112" spans="1:22" s="4" customFormat="1" hidden="1">
      <c r="A112" s="17">
        <v>295</v>
      </c>
      <c r="B112" s="27">
        <v>46063</v>
      </c>
      <c r="C112" s="6" t="s">
        <v>932</v>
      </c>
      <c r="D112" s="6"/>
      <c r="E112" s="6" t="s">
        <v>2374</v>
      </c>
      <c r="F112" s="33">
        <v>25114</v>
      </c>
      <c r="G112" s="21">
        <f>YEAR(F112)</f>
        <v>1968</v>
      </c>
      <c r="H112" s="22">
        <f t="shared" si="2"/>
        <v>58</v>
      </c>
      <c r="I112" s="23"/>
      <c r="J112" s="20" t="s">
        <v>27</v>
      </c>
      <c r="K112" s="6" t="s">
        <v>596</v>
      </c>
      <c r="L112" s="25"/>
      <c r="M112" s="25" t="s">
        <v>933</v>
      </c>
      <c r="N112" s="6"/>
      <c r="O112" s="6" t="s">
        <v>309</v>
      </c>
      <c r="P112" s="6">
        <v>150</v>
      </c>
      <c r="Q112" s="6">
        <v>57</v>
      </c>
      <c r="R112" s="26">
        <v>60</v>
      </c>
      <c r="S112" s="26"/>
      <c r="T112" s="26"/>
      <c r="U112" s="26"/>
      <c r="V112" s="6" t="s">
        <v>934</v>
      </c>
    </row>
    <row r="113" spans="1:22" s="4" customFormat="1">
      <c r="A113" s="20">
        <v>296</v>
      </c>
      <c r="B113" s="27">
        <v>46063</v>
      </c>
      <c r="C113" s="6" t="s">
        <v>935</v>
      </c>
      <c r="D113" s="6"/>
      <c r="E113" s="6" t="s">
        <v>40</v>
      </c>
      <c r="F113" s="33" t="s">
        <v>936</v>
      </c>
      <c r="G113" s="21" t="str">
        <f>RIGHT(F113,4)</f>
        <v>1928</v>
      </c>
      <c r="H113" s="22">
        <f t="shared" si="2"/>
        <v>98</v>
      </c>
      <c r="I113" s="23" t="s">
        <v>27</v>
      </c>
      <c r="J113" s="20"/>
      <c r="K113" s="6" t="s">
        <v>568</v>
      </c>
      <c r="L113" s="25"/>
      <c r="M113" s="25" t="s">
        <v>937</v>
      </c>
      <c r="N113" s="6"/>
      <c r="O113" s="6" t="s">
        <v>938</v>
      </c>
      <c r="P113" s="6">
        <v>155</v>
      </c>
      <c r="Q113" s="6">
        <v>48</v>
      </c>
      <c r="R113" s="26">
        <v>78</v>
      </c>
      <c r="S113" s="26"/>
      <c r="T113" s="26"/>
      <c r="U113" s="26"/>
      <c r="V113" s="6" t="s">
        <v>939</v>
      </c>
    </row>
    <row r="114" spans="1:22" s="4" customFormat="1" hidden="1">
      <c r="A114" s="17">
        <v>297</v>
      </c>
      <c r="B114" s="27">
        <v>46063</v>
      </c>
      <c r="C114" s="6" t="s">
        <v>137</v>
      </c>
      <c r="D114" s="6"/>
      <c r="E114" s="6" t="s">
        <v>2374</v>
      </c>
      <c r="F114" s="33">
        <v>26153</v>
      </c>
      <c r="G114" s="21">
        <f>YEAR(F114)</f>
        <v>1971</v>
      </c>
      <c r="H114" s="22">
        <f t="shared" si="2"/>
        <v>55</v>
      </c>
      <c r="I114" s="23"/>
      <c r="J114" s="20" t="s">
        <v>27</v>
      </c>
      <c r="K114" s="6" t="s">
        <v>568</v>
      </c>
      <c r="L114" s="25"/>
      <c r="M114" s="25" t="s">
        <v>940</v>
      </c>
      <c r="N114" s="6"/>
      <c r="O114" s="6" t="s">
        <v>941</v>
      </c>
      <c r="P114" s="6">
        <v>152</v>
      </c>
      <c r="Q114" s="6">
        <v>65</v>
      </c>
      <c r="R114" s="26">
        <v>78</v>
      </c>
      <c r="S114" s="26"/>
      <c r="T114" s="26"/>
      <c r="U114" s="26"/>
      <c r="V114" s="6" t="s">
        <v>942</v>
      </c>
    </row>
    <row r="115" spans="1:22" s="4" customFormat="1">
      <c r="A115" s="20">
        <v>298</v>
      </c>
      <c r="B115" s="27">
        <v>46063</v>
      </c>
      <c r="C115" s="6" t="s">
        <v>943</v>
      </c>
      <c r="D115" s="6"/>
      <c r="E115" s="6" t="s">
        <v>40</v>
      </c>
      <c r="F115" s="33">
        <v>13881</v>
      </c>
      <c r="G115" s="21">
        <f>YEAR(F115)</f>
        <v>1938</v>
      </c>
      <c r="H115" s="22">
        <f t="shared" si="2"/>
        <v>88</v>
      </c>
      <c r="I115" s="23"/>
      <c r="J115" s="20" t="s">
        <v>27</v>
      </c>
      <c r="K115" s="6" t="s">
        <v>568</v>
      </c>
      <c r="L115" s="25"/>
      <c r="M115" s="25" t="s">
        <v>944</v>
      </c>
      <c r="N115" s="6"/>
      <c r="O115" s="6" t="s">
        <v>333</v>
      </c>
      <c r="P115" s="6"/>
      <c r="Q115" s="6"/>
      <c r="R115" s="26">
        <v>80</v>
      </c>
      <c r="S115" s="26"/>
      <c r="T115" s="26"/>
      <c r="U115" s="26"/>
      <c r="V115" s="6" t="s">
        <v>945</v>
      </c>
    </row>
    <row r="116" spans="1:22" s="4" customFormat="1">
      <c r="A116" s="17">
        <v>299</v>
      </c>
      <c r="B116" s="27">
        <v>46063</v>
      </c>
      <c r="C116" s="6" t="s">
        <v>562</v>
      </c>
      <c r="D116" s="6"/>
      <c r="E116" s="6" t="s">
        <v>40</v>
      </c>
      <c r="F116" s="33">
        <v>19360</v>
      </c>
      <c r="G116" s="21">
        <f>YEAR(F116)</f>
        <v>1953</v>
      </c>
      <c r="H116" s="22">
        <f t="shared" si="2"/>
        <v>73</v>
      </c>
      <c r="I116" s="23"/>
      <c r="J116" s="20" t="s">
        <v>27</v>
      </c>
      <c r="K116" s="6" t="s">
        <v>568</v>
      </c>
      <c r="L116" s="25"/>
      <c r="M116" s="25" t="s">
        <v>946</v>
      </c>
      <c r="N116" s="6"/>
      <c r="O116" s="6" t="s">
        <v>284</v>
      </c>
      <c r="P116" s="6">
        <v>150</v>
      </c>
      <c r="Q116" s="6">
        <v>52</v>
      </c>
      <c r="R116" s="26">
        <v>80</v>
      </c>
      <c r="S116" s="26"/>
      <c r="T116" s="26"/>
      <c r="U116" s="26"/>
      <c r="V116" s="6" t="s">
        <v>947</v>
      </c>
    </row>
    <row r="117" spans="1:22" s="4" customFormat="1">
      <c r="A117" s="20">
        <v>300</v>
      </c>
      <c r="B117" s="27">
        <v>46063</v>
      </c>
      <c r="C117" s="6" t="s">
        <v>948</v>
      </c>
      <c r="D117" s="6"/>
      <c r="E117" s="6" t="s">
        <v>40</v>
      </c>
      <c r="F117" s="33" t="s">
        <v>949</v>
      </c>
      <c r="G117" s="21" t="str">
        <f>RIGHT(F117,4)</f>
        <v>1937</v>
      </c>
      <c r="H117" s="22">
        <f t="shared" si="2"/>
        <v>89</v>
      </c>
      <c r="I117" s="23"/>
      <c r="J117" s="20" t="s">
        <v>27</v>
      </c>
      <c r="K117" s="6" t="s">
        <v>568</v>
      </c>
      <c r="L117" s="25"/>
      <c r="M117" s="25" t="s">
        <v>950</v>
      </c>
      <c r="N117" s="6"/>
      <c r="O117" s="6" t="s">
        <v>389</v>
      </c>
      <c r="P117" s="6">
        <v>156</v>
      </c>
      <c r="Q117" s="6">
        <v>46</v>
      </c>
      <c r="R117" s="26">
        <v>78</v>
      </c>
      <c r="S117" s="26"/>
      <c r="T117" s="26"/>
      <c r="U117" s="26"/>
      <c r="V117" s="6" t="s">
        <v>951</v>
      </c>
    </row>
    <row r="118" spans="1:22" s="4" customFormat="1">
      <c r="A118" s="17">
        <v>301</v>
      </c>
      <c r="B118" s="27">
        <v>46063</v>
      </c>
      <c r="C118" s="6" t="s">
        <v>105</v>
      </c>
      <c r="D118" s="6"/>
      <c r="E118" s="6" t="s">
        <v>40</v>
      </c>
      <c r="F118" s="33">
        <v>18325</v>
      </c>
      <c r="G118" s="21">
        <f>YEAR(F118)</f>
        <v>1950</v>
      </c>
      <c r="H118" s="22">
        <f t="shared" si="2"/>
        <v>76</v>
      </c>
      <c r="I118" s="23"/>
      <c r="J118" s="20" t="s">
        <v>27</v>
      </c>
      <c r="K118" s="6" t="s">
        <v>568</v>
      </c>
      <c r="L118" s="25"/>
      <c r="M118" s="25" t="s">
        <v>952</v>
      </c>
      <c r="N118" s="6"/>
      <c r="O118" s="6"/>
      <c r="P118" s="6">
        <v>155</v>
      </c>
      <c r="Q118" s="6">
        <v>46</v>
      </c>
      <c r="R118" s="26"/>
      <c r="S118" s="26"/>
      <c r="T118" s="26"/>
      <c r="U118" s="26"/>
      <c r="V118" s="6" t="s">
        <v>953</v>
      </c>
    </row>
    <row r="119" spans="1:22" s="4" customFormat="1" hidden="1">
      <c r="A119" s="20">
        <v>302</v>
      </c>
      <c r="B119" s="27">
        <v>46063</v>
      </c>
      <c r="C119" s="6" t="s">
        <v>954</v>
      </c>
      <c r="D119" s="6"/>
      <c r="E119" s="6" t="s">
        <v>2374</v>
      </c>
      <c r="F119" s="33">
        <v>28039</v>
      </c>
      <c r="G119" s="21">
        <f>YEAR(F119)</f>
        <v>1976</v>
      </c>
      <c r="H119" s="22">
        <f t="shared" si="2"/>
        <v>50</v>
      </c>
      <c r="I119" s="23"/>
      <c r="J119" s="20" t="s">
        <v>27</v>
      </c>
      <c r="K119" s="6" t="s">
        <v>568</v>
      </c>
      <c r="L119" s="25"/>
      <c r="M119" s="25" t="s">
        <v>955</v>
      </c>
      <c r="N119" s="6"/>
      <c r="O119" s="6" t="s">
        <v>288</v>
      </c>
      <c r="P119" s="6">
        <v>150</v>
      </c>
      <c r="Q119" s="6">
        <v>52</v>
      </c>
      <c r="R119" s="26">
        <v>76</v>
      </c>
      <c r="S119" s="26"/>
      <c r="T119" s="26"/>
      <c r="U119" s="26"/>
      <c r="V119" s="6" t="s">
        <v>956</v>
      </c>
    </row>
    <row r="120" spans="1:22" s="4" customFormat="1">
      <c r="A120" s="17">
        <v>303</v>
      </c>
      <c r="B120" s="27">
        <v>46063</v>
      </c>
      <c r="C120" s="6" t="s">
        <v>957</v>
      </c>
      <c r="D120" s="6"/>
      <c r="E120" s="6" t="s">
        <v>40</v>
      </c>
      <c r="F120" s="33">
        <v>18120</v>
      </c>
      <c r="G120" s="21">
        <f>YEAR(F120)</f>
        <v>1949</v>
      </c>
      <c r="H120" s="22">
        <f t="shared" si="2"/>
        <v>77</v>
      </c>
      <c r="I120" s="23"/>
      <c r="J120" s="20" t="s">
        <v>27</v>
      </c>
      <c r="K120" s="6" t="s">
        <v>568</v>
      </c>
      <c r="L120" s="25"/>
      <c r="M120" s="25" t="s">
        <v>958</v>
      </c>
      <c r="N120" s="6"/>
      <c r="O120" s="6" t="s">
        <v>143</v>
      </c>
      <c r="P120" s="6"/>
      <c r="Q120" s="6"/>
      <c r="R120" s="26">
        <v>78</v>
      </c>
      <c r="S120" s="26"/>
      <c r="T120" s="26"/>
      <c r="U120" s="26"/>
      <c r="V120" s="6" t="s">
        <v>959</v>
      </c>
    </row>
    <row r="121" spans="1:22" s="4" customFormat="1">
      <c r="A121" s="20">
        <v>304</v>
      </c>
      <c r="B121" s="27">
        <v>46063</v>
      </c>
      <c r="C121" s="6" t="s">
        <v>960</v>
      </c>
      <c r="D121" s="6"/>
      <c r="E121" s="6" t="s">
        <v>40</v>
      </c>
      <c r="F121" s="33" t="s">
        <v>961</v>
      </c>
      <c r="G121" s="21" t="str">
        <f>RIGHT(F121,4)</f>
        <v>1947</v>
      </c>
      <c r="H121" s="22">
        <f t="shared" si="2"/>
        <v>79</v>
      </c>
      <c r="I121" s="23"/>
      <c r="J121" s="20" t="s">
        <v>27</v>
      </c>
      <c r="K121" s="6" t="s">
        <v>568</v>
      </c>
      <c r="L121" s="25"/>
      <c r="M121" s="25" t="s">
        <v>962</v>
      </c>
      <c r="N121" s="6"/>
      <c r="O121" s="6" t="s">
        <v>87</v>
      </c>
      <c r="P121" s="6">
        <v>148</v>
      </c>
      <c r="Q121" s="6">
        <v>41</v>
      </c>
      <c r="R121" s="26">
        <v>78</v>
      </c>
      <c r="S121" s="26"/>
      <c r="T121" s="26"/>
      <c r="U121" s="26"/>
      <c r="V121" s="6" t="s">
        <v>963</v>
      </c>
    </row>
    <row r="122" spans="1:22" s="4" customFormat="1">
      <c r="A122" s="17">
        <v>305</v>
      </c>
      <c r="B122" s="27">
        <v>46063</v>
      </c>
      <c r="C122" s="6" t="s">
        <v>964</v>
      </c>
      <c r="D122" s="6"/>
      <c r="E122" s="6" t="s">
        <v>40</v>
      </c>
      <c r="F122" s="33">
        <v>22617</v>
      </c>
      <c r="G122" s="21">
        <f>YEAR(F122)</f>
        <v>1961</v>
      </c>
      <c r="H122" s="22">
        <f t="shared" si="2"/>
        <v>65</v>
      </c>
      <c r="I122" s="23"/>
      <c r="J122" s="20" t="s">
        <v>27</v>
      </c>
      <c r="K122" s="6" t="s">
        <v>568</v>
      </c>
      <c r="L122" s="25"/>
      <c r="M122" s="25" t="s">
        <v>965</v>
      </c>
      <c r="N122" s="6"/>
      <c r="O122" s="6" t="s">
        <v>389</v>
      </c>
      <c r="P122" s="6">
        <v>155</v>
      </c>
      <c r="Q122" s="6">
        <v>55</v>
      </c>
      <c r="R122" s="26">
        <v>78</v>
      </c>
      <c r="S122" s="26"/>
      <c r="T122" s="26"/>
      <c r="U122" s="26"/>
      <c r="V122" s="6" t="s">
        <v>966</v>
      </c>
    </row>
    <row r="123" spans="1:22" s="4" customFormat="1" hidden="1">
      <c r="A123" s="20">
        <v>306</v>
      </c>
      <c r="B123" s="27">
        <v>46063</v>
      </c>
      <c r="C123" s="6" t="s">
        <v>967</v>
      </c>
      <c r="D123" s="6"/>
      <c r="E123" s="6" t="s">
        <v>2374</v>
      </c>
      <c r="F123" s="33">
        <v>27524</v>
      </c>
      <c r="G123" s="21">
        <f>YEAR(F123)</f>
        <v>1975</v>
      </c>
      <c r="H123" s="22">
        <f t="shared" si="2"/>
        <v>51</v>
      </c>
      <c r="I123" s="23"/>
      <c r="J123" s="20" t="s">
        <v>27</v>
      </c>
      <c r="K123" s="6" t="s">
        <v>596</v>
      </c>
      <c r="L123" s="25"/>
      <c r="M123" s="25" t="s">
        <v>968</v>
      </c>
      <c r="N123" s="6"/>
      <c r="O123" s="6" t="s">
        <v>87</v>
      </c>
      <c r="P123" s="6">
        <v>158</v>
      </c>
      <c r="Q123" s="6">
        <v>50</v>
      </c>
      <c r="R123" s="26">
        <v>77</v>
      </c>
      <c r="S123" s="26"/>
      <c r="T123" s="26"/>
      <c r="U123" s="26"/>
      <c r="V123" s="6" t="s">
        <v>604</v>
      </c>
    </row>
    <row r="124" spans="1:22" s="4" customFormat="1" hidden="1">
      <c r="A124" s="17">
        <v>307</v>
      </c>
      <c r="B124" s="27">
        <v>46063</v>
      </c>
      <c r="C124" s="6" t="s">
        <v>969</v>
      </c>
      <c r="D124" s="6"/>
      <c r="E124" s="6" t="s">
        <v>2374</v>
      </c>
      <c r="F124" s="33" t="s">
        <v>970</v>
      </c>
      <c r="G124" s="21" t="str">
        <f>RIGHT(F124,4)</f>
        <v>1974</v>
      </c>
      <c r="H124" s="22">
        <f t="shared" si="2"/>
        <v>52</v>
      </c>
      <c r="I124" s="23"/>
      <c r="J124" s="20" t="s">
        <v>27</v>
      </c>
      <c r="K124" s="6" t="s">
        <v>596</v>
      </c>
      <c r="L124" s="25"/>
      <c r="M124" s="25" t="s">
        <v>971</v>
      </c>
      <c r="N124" s="6"/>
      <c r="O124" s="6" t="s">
        <v>930</v>
      </c>
      <c r="P124" s="6">
        <v>158</v>
      </c>
      <c r="Q124" s="6">
        <v>60</v>
      </c>
      <c r="R124" s="26">
        <v>79</v>
      </c>
      <c r="S124" s="26"/>
      <c r="T124" s="26"/>
      <c r="U124" s="26"/>
      <c r="V124" s="6" t="s">
        <v>972</v>
      </c>
    </row>
    <row r="125" spans="1:22" s="4" customFormat="1" hidden="1">
      <c r="A125" s="20">
        <v>308</v>
      </c>
      <c r="B125" s="27">
        <v>46063</v>
      </c>
      <c r="C125" s="6" t="s">
        <v>973</v>
      </c>
      <c r="D125" s="6"/>
      <c r="E125" s="6" t="s">
        <v>2374</v>
      </c>
      <c r="F125" s="33">
        <v>26642</v>
      </c>
      <c r="G125" s="21">
        <f>YEAR(F125)</f>
        <v>1972</v>
      </c>
      <c r="H125" s="22">
        <f t="shared" si="2"/>
        <v>54</v>
      </c>
      <c r="I125" s="23"/>
      <c r="J125" s="20" t="s">
        <v>27</v>
      </c>
      <c r="K125" s="6" t="s">
        <v>596</v>
      </c>
      <c r="L125" s="25"/>
      <c r="M125" s="25" t="s">
        <v>974</v>
      </c>
      <c r="N125" s="6"/>
      <c r="O125" s="6" t="s">
        <v>113</v>
      </c>
      <c r="P125" s="6">
        <v>158</v>
      </c>
      <c r="Q125" s="6">
        <v>50</v>
      </c>
      <c r="R125" s="26">
        <v>78</v>
      </c>
      <c r="S125" s="26"/>
      <c r="T125" s="26"/>
      <c r="U125" s="26"/>
      <c r="V125" s="6" t="s">
        <v>975</v>
      </c>
    </row>
    <row r="126" spans="1:22" s="4" customFormat="1" hidden="1">
      <c r="A126" s="17">
        <v>309</v>
      </c>
      <c r="B126" s="27">
        <v>46063</v>
      </c>
      <c r="C126" s="6" t="s">
        <v>976</v>
      </c>
      <c r="D126" s="6"/>
      <c r="E126" s="6" t="s">
        <v>2374</v>
      </c>
      <c r="F126" s="33">
        <v>26457</v>
      </c>
      <c r="G126" s="21">
        <f>YEAR(F126)</f>
        <v>1972</v>
      </c>
      <c r="H126" s="22">
        <f t="shared" si="2"/>
        <v>54</v>
      </c>
      <c r="I126" s="23"/>
      <c r="J126" s="20" t="s">
        <v>27</v>
      </c>
      <c r="K126" s="6" t="s">
        <v>596</v>
      </c>
      <c r="L126" s="25"/>
      <c r="M126" s="25" t="s">
        <v>977</v>
      </c>
      <c r="N126" s="6"/>
      <c r="O126" s="6" t="s">
        <v>978</v>
      </c>
      <c r="P126" s="6">
        <v>150</v>
      </c>
      <c r="Q126" s="6">
        <v>50</v>
      </c>
      <c r="R126" s="26">
        <v>82</v>
      </c>
      <c r="S126" s="26"/>
      <c r="T126" s="26"/>
      <c r="U126" s="26"/>
      <c r="V126" s="6" t="s">
        <v>598</v>
      </c>
    </row>
    <row r="127" spans="1:22" s="4" customFormat="1" hidden="1">
      <c r="A127" s="20">
        <v>310</v>
      </c>
      <c r="B127" s="27">
        <v>46063</v>
      </c>
      <c r="C127" s="6" t="s">
        <v>979</v>
      </c>
      <c r="D127" s="6"/>
      <c r="E127" s="6" t="s">
        <v>2374</v>
      </c>
      <c r="F127" s="33">
        <v>25965</v>
      </c>
      <c r="G127" s="21">
        <f>YEAR(F127)</f>
        <v>1971</v>
      </c>
      <c r="H127" s="22">
        <f t="shared" si="2"/>
        <v>55</v>
      </c>
      <c r="I127" s="23"/>
      <c r="J127" s="20" t="s">
        <v>27</v>
      </c>
      <c r="K127" s="6" t="s">
        <v>596</v>
      </c>
      <c r="L127" s="25"/>
      <c r="M127" s="25" t="s">
        <v>980</v>
      </c>
      <c r="N127" s="6"/>
      <c r="O127" s="6" t="s">
        <v>87</v>
      </c>
      <c r="P127" s="6">
        <v>153</v>
      </c>
      <c r="Q127" s="6">
        <v>48</v>
      </c>
      <c r="R127" s="26">
        <v>80</v>
      </c>
      <c r="S127" s="26"/>
      <c r="T127" s="26"/>
      <c r="U127" s="26"/>
      <c r="V127" s="6" t="s">
        <v>598</v>
      </c>
    </row>
    <row r="128" spans="1:22" s="4" customFormat="1" hidden="1">
      <c r="A128" s="17">
        <v>311</v>
      </c>
      <c r="B128" s="27">
        <v>46063</v>
      </c>
      <c r="C128" s="6" t="s">
        <v>981</v>
      </c>
      <c r="D128" s="6"/>
      <c r="E128" s="6" t="s">
        <v>2374</v>
      </c>
      <c r="F128" s="33" t="s">
        <v>982</v>
      </c>
      <c r="G128" s="21" t="str">
        <f>RIGHT(F128,4)</f>
        <v>1971</v>
      </c>
      <c r="H128" s="22">
        <f t="shared" si="2"/>
        <v>55</v>
      </c>
      <c r="I128" s="23"/>
      <c r="J128" s="20" t="s">
        <v>27</v>
      </c>
      <c r="K128" s="6" t="s">
        <v>596</v>
      </c>
      <c r="L128" s="25"/>
      <c r="M128" s="25" t="s">
        <v>983</v>
      </c>
      <c r="N128" s="6"/>
      <c r="O128" s="6" t="s">
        <v>60</v>
      </c>
      <c r="P128" s="6">
        <v>150</v>
      </c>
      <c r="Q128" s="6">
        <v>49</v>
      </c>
      <c r="R128" s="26">
        <v>77</v>
      </c>
      <c r="S128" s="26"/>
      <c r="T128" s="26"/>
      <c r="U128" s="26"/>
      <c r="V128" s="6" t="s">
        <v>984</v>
      </c>
    </row>
    <row r="129" spans="1:22" s="4" customFormat="1" hidden="1">
      <c r="A129" s="20">
        <v>312</v>
      </c>
      <c r="B129" s="27">
        <v>46063</v>
      </c>
      <c r="C129" s="6" t="s">
        <v>985</v>
      </c>
      <c r="D129" s="6"/>
      <c r="E129" s="6" t="s">
        <v>2374</v>
      </c>
      <c r="F129" s="33" t="s">
        <v>986</v>
      </c>
      <c r="G129" s="21" t="str">
        <f>RIGHT(F129,4)</f>
        <v>1971</v>
      </c>
      <c r="H129" s="22">
        <f t="shared" si="2"/>
        <v>55</v>
      </c>
      <c r="I129" s="23"/>
      <c r="J129" s="20" t="s">
        <v>27</v>
      </c>
      <c r="K129" s="6" t="s">
        <v>596</v>
      </c>
      <c r="L129" s="25"/>
      <c r="M129" s="25" t="s">
        <v>987</v>
      </c>
      <c r="N129" s="6"/>
      <c r="O129" s="6" t="s">
        <v>34</v>
      </c>
      <c r="P129" s="6">
        <v>158</v>
      </c>
      <c r="Q129" s="6">
        <v>58</v>
      </c>
      <c r="R129" s="26">
        <v>80</v>
      </c>
      <c r="S129" s="26"/>
      <c r="T129" s="26"/>
      <c r="U129" s="26"/>
      <c r="V129" s="6" t="s">
        <v>984</v>
      </c>
    </row>
    <row r="130" spans="1:22" s="4" customFormat="1" hidden="1">
      <c r="A130" s="17">
        <v>313</v>
      </c>
      <c r="B130" s="27">
        <v>46063</v>
      </c>
      <c r="C130" s="6" t="s">
        <v>988</v>
      </c>
      <c r="D130" s="6"/>
      <c r="E130" s="6" t="s">
        <v>2374</v>
      </c>
      <c r="F130" s="33" t="s">
        <v>989</v>
      </c>
      <c r="G130" s="21" t="str">
        <f>RIGHT(F130,4)</f>
        <v>1971</v>
      </c>
      <c r="H130" s="22">
        <f t="shared" si="2"/>
        <v>55</v>
      </c>
      <c r="I130" s="23"/>
      <c r="J130" s="20" t="s">
        <v>27</v>
      </c>
      <c r="K130" s="6" t="s">
        <v>596</v>
      </c>
      <c r="L130" s="25"/>
      <c r="M130" s="25" t="s">
        <v>990</v>
      </c>
      <c r="N130" s="6"/>
      <c r="O130" s="6" t="s">
        <v>60</v>
      </c>
      <c r="P130" s="6">
        <v>150</v>
      </c>
      <c r="Q130" s="6">
        <v>48</v>
      </c>
      <c r="R130" s="26">
        <v>80</v>
      </c>
      <c r="S130" s="26"/>
      <c r="T130" s="26"/>
      <c r="U130" s="26"/>
      <c r="V130" s="6" t="s">
        <v>598</v>
      </c>
    </row>
    <row r="131" spans="1:22" s="4" customFormat="1" hidden="1">
      <c r="A131" s="20">
        <v>314</v>
      </c>
      <c r="B131" s="27">
        <v>46063</v>
      </c>
      <c r="C131" s="6" t="s">
        <v>991</v>
      </c>
      <c r="D131" s="6"/>
      <c r="E131" s="6" t="s">
        <v>2374</v>
      </c>
      <c r="F131" s="33">
        <v>25569</v>
      </c>
      <c r="G131" s="21">
        <f t="shared" ref="G131:G132" si="3">YEAR(F131)</f>
        <v>1970</v>
      </c>
      <c r="H131" s="22">
        <f t="shared" ref="H131:H132" si="4">2026-G131</f>
        <v>56</v>
      </c>
      <c r="I131" s="23"/>
      <c r="J131" s="20" t="s">
        <v>27</v>
      </c>
      <c r="K131" s="6" t="s">
        <v>596</v>
      </c>
      <c r="L131" s="25"/>
      <c r="M131" s="25" t="s">
        <v>992</v>
      </c>
      <c r="N131" s="6"/>
      <c r="O131" s="6" t="s">
        <v>113</v>
      </c>
      <c r="P131" s="6">
        <v>148</v>
      </c>
      <c r="Q131" s="6">
        <v>45</v>
      </c>
      <c r="R131" s="26">
        <v>70</v>
      </c>
      <c r="S131" s="26"/>
      <c r="T131" s="26"/>
      <c r="U131" s="26"/>
      <c r="V131" s="6" t="s">
        <v>993</v>
      </c>
    </row>
    <row r="132" spans="1:22" s="4" customFormat="1">
      <c r="A132" s="17">
        <v>315</v>
      </c>
      <c r="B132" s="27">
        <v>46063</v>
      </c>
      <c r="C132" s="6" t="s">
        <v>137</v>
      </c>
      <c r="D132" s="6"/>
      <c r="E132" s="6" t="s">
        <v>40</v>
      </c>
      <c r="F132" s="33">
        <v>24295</v>
      </c>
      <c r="G132" s="21">
        <f t="shared" si="3"/>
        <v>1966</v>
      </c>
      <c r="H132" s="22">
        <f t="shared" si="4"/>
        <v>60</v>
      </c>
      <c r="I132" s="23"/>
      <c r="J132" s="20" t="s">
        <v>27</v>
      </c>
      <c r="K132" s="6" t="s">
        <v>568</v>
      </c>
      <c r="L132" s="25"/>
      <c r="M132" s="25" t="s">
        <v>994</v>
      </c>
      <c r="N132" s="6"/>
      <c r="O132" s="6" t="s">
        <v>284</v>
      </c>
      <c r="P132" s="6">
        <v>145</v>
      </c>
      <c r="Q132" s="6">
        <v>49</v>
      </c>
      <c r="R132" s="26">
        <v>78</v>
      </c>
      <c r="S132" s="26"/>
      <c r="T132" s="26"/>
      <c r="U132" s="26"/>
      <c r="V132" s="6" t="s">
        <v>995</v>
      </c>
    </row>
  </sheetData>
  <autoFilter ref="A2:X132" xr:uid="{91C03D6F-239A-44A7-B005-CDD33B5419A4}">
    <filterColumn colId="4">
      <filters>
        <filter val="NCT"/>
      </filters>
    </filterColumn>
  </autoFilter>
  <mergeCells count="1">
    <mergeCell ref="I1:J1"/>
  </mergeCells>
  <conditionalFormatting sqref="C1:D2">
    <cfRule type="duplicateValues" dxfId="9" priority="2"/>
  </conditionalFormatting>
  <conditionalFormatting sqref="C3:D132">
    <cfRule type="duplicateValues" dxfId="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DB1A-7A6E-42AD-82A9-7BDFF71D580D}">
  <sheetPr filterMode="1"/>
  <dimension ref="A1:V99"/>
  <sheetViews>
    <sheetView workbookViewId="0">
      <selection sqref="A1:XFD2"/>
    </sheetView>
  </sheetViews>
  <sheetFormatPr defaultRowHeight="15"/>
  <cols>
    <col min="2" max="2" width="18.7109375" customWidth="1"/>
    <col min="6" max="6" width="19.85546875" customWidth="1"/>
    <col min="7" max="7" width="17.140625" customWidth="1"/>
  </cols>
  <sheetData>
    <row r="1" spans="1:22" s="1" customFormat="1" ht="57">
      <c r="A1" s="9" t="s">
        <v>4</v>
      </c>
      <c r="B1" s="9" t="s">
        <v>5</v>
      </c>
      <c r="C1" s="9" t="s">
        <v>6</v>
      </c>
      <c r="D1" s="9"/>
      <c r="E1" s="10" t="s">
        <v>7</v>
      </c>
      <c r="F1" s="9" t="s">
        <v>8</v>
      </c>
      <c r="G1" s="11" t="s">
        <v>9</v>
      </c>
      <c r="H1" s="11" t="s">
        <v>10</v>
      </c>
      <c r="I1" s="69" t="s">
        <v>11</v>
      </c>
      <c r="J1" s="70"/>
      <c r="K1" s="9" t="s">
        <v>12</v>
      </c>
      <c r="L1" s="13" t="s">
        <v>13</v>
      </c>
      <c r="M1" s="13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</row>
    <row r="2" spans="1:22" s="1" customFormat="1" ht="14.25">
      <c r="A2" s="11"/>
      <c r="B2" s="16"/>
      <c r="C2" s="12"/>
      <c r="D2" s="12"/>
      <c r="E2" s="10"/>
      <c r="F2" s="9"/>
      <c r="G2" s="11"/>
      <c r="H2" s="11"/>
      <c r="I2" s="11" t="s">
        <v>24</v>
      </c>
      <c r="J2" s="12" t="s">
        <v>25</v>
      </c>
      <c r="K2" s="9"/>
      <c r="L2" s="13"/>
      <c r="M2" s="13"/>
      <c r="N2" s="10"/>
      <c r="O2" s="10"/>
      <c r="P2" s="10"/>
      <c r="Q2" s="10"/>
      <c r="R2" s="14"/>
      <c r="S2" s="14"/>
      <c r="T2" s="14"/>
      <c r="U2" s="14"/>
      <c r="V2" s="15"/>
    </row>
    <row r="3" spans="1:22" s="4" customFormat="1" hidden="1">
      <c r="A3" s="20">
        <v>316</v>
      </c>
      <c r="B3" s="6" t="s">
        <v>996</v>
      </c>
      <c r="C3" s="6" t="s">
        <v>997</v>
      </c>
      <c r="D3" s="6"/>
      <c r="E3" s="6" t="s">
        <v>2374</v>
      </c>
      <c r="F3" s="33">
        <v>38309</v>
      </c>
      <c r="G3" s="21">
        <f t="shared" ref="G3:G43" si="0">YEAR(F3)</f>
        <v>2004</v>
      </c>
      <c r="H3" s="22">
        <f t="shared" ref="H3:H66" si="1">2026-G3</f>
        <v>22</v>
      </c>
      <c r="I3" s="23"/>
      <c r="J3" s="20" t="s">
        <v>27</v>
      </c>
      <c r="K3" s="6"/>
      <c r="L3" s="25"/>
      <c r="M3" s="25" t="s">
        <v>998</v>
      </c>
      <c r="N3" s="6"/>
      <c r="O3" s="6" t="s">
        <v>999</v>
      </c>
      <c r="P3" s="6">
        <v>155</v>
      </c>
      <c r="Q3" s="6">
        <v>43</v>
      </c>
      <c r="R3" s="26">
        <v>89</v>
      </c>
      <c r="S3" s="26"/>
      <c r="T3" s="26"/>
      <c r="U3" s="26"/>
      <c r="V3" s="6" t="s">
        <v>604</v>
      </c>
    </row>
    <row r="4" spans="1:22" s="4" customFormat="1" hidden="1">
      <c r="A4" s="17">
        <v>317</v>
      </c>
      <c r="B4" s="6" t="s">
        <v>996</v>
      </c>
      <c r="C4" s="6" t="s">
        <v>1000</v>
      </c>
      <c r="D4" s="6"/>
      <c r="E4" s="51" t="s">
        <v>2374</v>
      </c>
      <c r="F4" s="33">
        <v>37893</v>
      </c>
      <c r="G4" s="21">
        <f t="shared" si="0"/>
        <v>2003</v>
      </c>
      <c r="H4" s="22">
        <f t="shared" si="1"/>
        <v>23</v>
      </c>
      <c r="I4" s="23"/>
      <c r="J4" s="20" t="s">
        <v>27</v>
      </c>
      <c r="K4" s="6"/>
      <c r="L4" s="25"/>
      <c r="M4" s="25" t="s">
        <v>1001</v>
      </c>
      <c r="N4" s="6"/>
      <c r="O4" s="6" t="s">
        <v>1002</v>
      </c>
      <c r="P4" s="6">
        <v>157</v>
      </c>
      <c r="Q4" s="6">
        <v>45</v>
      </c>
      <c r="R4" s="26">
        <v>104</v>
      </c>
      <c r="S4" s="26"/>
      <c r="T4" s="26"/>
      <c r="U4" s="26"/>
      <c r="V4" s="6" t="s">
        <v>1003</v>
      </c>
    </row>
    <row r="5" spans="1:22" s="4" customFormat="1" hidden="1">
      <c r="A5" s="20">
        <v>318</v>
      </c>
      <c r="B5" s="6" t="s">
        <v>996</v>
      </c>
      <c r="C5" s="6" t="s">
        <v>1004</v>
      </c>
      <c r="D5" s="6"/>
      <c r="E5" s="6" t="s">
        <v>40</v>
      </c>
      <c r="F5" s="33">
        <v>13731</v>
      </c>
      <c r="G5" s="21">
        <f t="shared" si="0"/>
        <v>1937</v>
      </c>
      <c r="H5" s="22">
        <f t="shared" si="1"/>
        <v>89</v>
      </c>
      <c r="I5" s="23" t="s">
        <v>27</v>
      </c>
      <c r="J5" s="20"/>
      <c r="K5" s="6" t="s">
        <v>1005</v>
      </c>
      <c r="L5" s="25"/>
      <c r="M5" s="25" t="s">
        <v>1006</v>
      </c>
      <c r="N5" s="6" t="s">
        <v>1007</v>
      </c>
      <c r="O5" s="6" t="s">
        <v>284</v>
      </c>
      <c r="P5" s="6">
        <v>150</v>
      </c>
      <c r="Q5" s="6">
        <v>45</v>
      </c>
      <c r="R5" s="26">
        <v>75</v>
      </c>
      <c r="S5" s="26"/>
      <c r="T5" s="26"/>
      <c r="U5" s="26"/>
      <c r="V5" s="6" t="s">
        <v>1008</v>
      </c>
    </row>
    <row r="6" spans="1:22" s="4" customFormat="1" hidden="1">
      <c r="A6" s="17">
        <v>319</v>
      </c>
      <c r="B6" s="6" t="s">
        <v>996</v>
      </c>
      <c r="C6" s="6" t="s">
        <v>1009</v>
      </c>
      <c r="D6" s="6"/>
      <c r="E6" s="6" t="s">
        <v>40</v>
      </c>
      <c r="F6" s="33">
        <v>18114</v>
      </c>
      <c r="G6" s="21">
        <f t="shared" si="0"/>
        <v>1949</v>
      </c>
      <c r="H6" s="22">
        <f t="shared" si="1"/>
        <v>77</v>
      </c>
      <c r="I6" s="23"/>
      <c r="J6" s="20" t="s">
        <v>27</v>
      </c>
      <c r="K6" s="6" t="s">
        <v>1005</v>
      </c>
      <c r="L6" s="25"/>
      <c r="M6" s="25" t="s">
        <v>1010</v>
      </c>
      <c r="N6" s="6"/>
      <c r="O6" s="6" t="s">
        <v>1011</v>
      </c>
      <c r="P6" s="6">
        <v>158</v>
      </c>
      <c r="Q6" s="6">
        <v>47</v>
      </c>
      <c r="R6" s="26">
        <v>77</v>
      </c>
      <c r="S6" s="26"/>
      <c r="T6" s="26"/>
      <c r="U6" s="26"/>
      <c r="V6" s="6" t="s">
        <v>1012</v>
      </c>
    </row>
    <row r="7" spans="1:22" s="4" customFormat="1" hidden="1">
      <c r="A7" s="20">
        <v>320</v>
      </c>
      <c r="B7" s="6" t="s">
        <v>996</v>
      </c>
      <c r="C7" s="6" t="s">
        <v>1013</v>
      </c>
      <c r="D7" s="6"/>
      <c r="E7" s="6" t="s">
        <v>2374</v>
      </c>
      <c r="F7" s="33">
        <v>25477</v>
      </c>
      <c r="G7" s="21">
        <f t="shared" si="0"/>
        <v>1969</v>
      </c>
      <c r="H7" s="22">
        <f t="shared" si="1"/>
        <v>57</v>
      </c>
      <c r="I7" s="23" t="s">
        <v>27</v>
      </c>
      <c r="J7" s="20"/>
      <c r="K7" s="6" t="s">
        <v>1014</v>
      </c>
      <c r="L7" s="25"/>
      <c r="M7" s="25" t="s">
        <v>1015</v>
      </c>
      <c r="N7" s="6"/>
      <c r="O7" s="6" t="s">
        <v>60</v>
      </c>
      <c r="P7" s="6">
        <v>159</v>
      </c>
      <c r="Q7" s="6">
        <v>60</v>
      </c>
      <c r="R7" s="26">
        <v>85</v>
      </c>
      <c r="S7" s="26"/>
      <c r="T7" s="26"/>
      <c r="U7" s="26"/>
      <c r="V7" s="6" t="s">
        <v>1016</v>
      </c>
    </row>
    <row r="8" spans="1:22" s="4" customFormat="1" hidden="1">
      <c r="A8" s="17">
        <v>321</v>
      </c>
      <c r="B8" s="6" t="s">
        <v>996</v>
      </c>
      <c r="C8" s="6" t="s">
        <v>1017</v>
      </c>
      <c r="D8" s="6"/>
      <c r="E8" s="6" t="s">
        <v>2374</v>
      </c>
      <c r="F8" s="33">
        <v>25729</v>
      </c>
      <c r="G8" s="21">
        <f t="shared" si="0"/>
        <v>1970</v>
      </c>
      <c r="H8" s="22">
        <f t="shared" si="1"/>
        <v>56</v>
      </c>
      <c r="I8" s="23"/>
      <c r="J8" s="20" t="s">
        <v>27</v>
      </c>
      <c r="K8" s="6" t="s">
        <v>1005</v>
      </c>
      <c r="L8" s="25"/>
      <c r="M8" s="25" t="s">
        <v>1018</v>
      </c>
      <c r="N8" s="6"/>
      <c r="O8" s="6" t="s">
        <v>1019</v>
      </c>
      <c r="P8" s="6">
        <v>160</v>
      </c>
      <c r="Q8" s="6">
        <v>58</v>
      </c>
      <c r="R8" s="26">
        <v>85</v>
      </c>
      <c r="S8" s="26"/>
      <c r="T8" s="26"/>
      <c r="U8" s="26"/>
      <c r="V8" s="6" t="s">
        <v>1020</v>
      </c>
    </row>
    <row r="9" spans="1:22" s="4" customFormat="1" hidden="1">
      <c r="A9" s="20">
        <v>322</v>
      </c>
      <c r="B9" s="6" t="s">
        <v>996</v>
      </c>
      <c r="C9" s="6" t="s">
        <v>1021</v>
      </c>
      <c r="D9" s="6"/>
      <c r="E9" s="6" t="s">
        <v>40</v>
      </c>
      <c r="F9" s="33">
        <v>21330</v>
      </c>
      <c r="G9" s="21">
        <f t="shared" si="0"/>
        <v>1958</v>
      </c>
      <c r="H9" s="22">
        <f t="shared" si="1"/>
        <v>68</v>
      </c>
      <c r="I9" s="23"/>
      <c r="J9" s="20" t="s">
        <v>27</v>
      </c>
      <c r="K9" s="6" t="s">
        <v>1005</v>
      </c>
      <c r="L9" s="25"/>
      <c r="M9" s="25" t="s">
        <v>1022</v>
      </c>
      <c r="N9" s="6"/>
      <c r="O9" s="6" t="s">
        <v>87</v>
      </c>
      <c r="P9" s="6">
        <v>149</v>
      </c>
      <c r="Q9" s="6">
        <v>50</v>
      </c>
      <c r="R9" s="26">
        <v>86</v>
      </c>
      <c r="S9" s="26"/>
      <c r="T9" s="26"/>
      <c r="U9" s="26"/>
      <c r="V9" s="6" t="s">
        <v>1023</v>
      </c>
    </row>
    <row r="10" spans="1:22" s="4" customFormat="1" hidden="1">
      <c r="A10" s="17">
        <v>323</v>
      </c>
      <c r="B10" s="6" t="s">
        <v>996</v>
      </c>
      <c r="C10" s="6" t="s">
        <v>1024</v>
      </c>
      <c r="D10" s="6"/>
      <c r="E10" s="6" t="s">
        <v>40</v>
      </c>
      <c r="F10" s="33">
        <v>24108</v>
      </c>
      <c r="G10" s="21">
        <f t="shared" si="0"/>
        <v>1966</v>
      </c>
      <c r="H10" s="22">
        <f t="shared" si="1"/>
        <v>60</v>
      </c>
      <c r="I10" s="23"/>
      <c r="J10" s="20" t="s">
        <v>27</v>
      </c>
      <c r="K10" s="6" t="s">
        <v>1005</v>
      </c>
      <c r="L10" s="25"/>
      <c r="M10" s="25" t="s">
        <v>1025</v>
      </c>
      <c r="N10" s="6"/>
      <c r="O10" s="6" t="s">
        <v>34</v>
      </c>
      <c r="P10" s="6">
        <v>154</v>
      </c>
      <c r="Q10" s="6">
        <v>55</v>
      </c>
      <c r="R10" s="26">
        <v>70</v>
      </c>
      <c r="S10" s="26"/>
      <c r="T10" s="26"/>
      <c r="U10" s="26"/>
      <c r="V10" s="6" t="s">
        <v>1026</v>
      </c>
    </row>
    <row r="11" spans="1:22" s="4" customFormat="1" hidden="1">
      <c r="A11" s="20">
        <v>324</v>
      </c>
      <c r="B11" s="6" t="s">
        <v>996</v>
      </c>
      <c r="C11" s="6" t="s">
        <v>1027</v>
      </c>
      <c r="D11" s="6"/>
      <c r="E11" s="6" t="s">
        <v>40</v>
      </c>
      <c r="F11" s="33">
        <v>23619</v>
      </c>
      <c r="G11" s="21">
        <f t="shared" si="0"/>
        <v>1964</v>
      </c>
      <c r="H11" s="22">
        <f t="shared" si="1"/>
        <v>62</v>
      </c>
      <c r="I11" s="23"/>
      <c r="J11" s="20" t="s">
        <v>27</v>
      </c>
      <c r="K11" s="6" t="s">
        <v>1005</v>
      </c>
      <c r="L11" s="25"/>
      <c r="M11" s="25" t="s">
        <v>1028</v>
      </c>
      <c r="N11" s="6"/>
      <c r="O11" s="6" t="s">
        <v>60</v>
      </c>
      <c r="P11" s="6">
        <v>163</v>
      </c>
      <c r="Q11" s="6">
        <v>55</v>
      </c>
      <c r="R11" s="26">
        <v>78</v>
      </c>
      <c r="S11" s="26"/>
      <c r="T11" s="26"/>
      <c r="U11" s="26"/>
      <c r="V11" s="6" t="s">
        <v>1029</v>
      </c>
    </row>
    <row r="12" spans="1:22" s="4" customFormat="1" hidden="1">
      <c r="A12" s="17">
        <v>325</v>
      </c>
      <c r="B12" s="6" t="s">
        <v>996</v>
      </c>
      <c r="C12" s="6" t="s">
        <v>1030</v>
      </c>
      <c r="D12" s="6"/>
      <c r="E12" s="6" t="s">
        <v>40</v>
      </c>
      <c r="F12" s="33">
        <v>20286</v>
      </c>
      <c r="G12" s="21">
        <f t="shared" si="0"/>
        <v>1955</v>
      </c>
      <c r="H12" s="22">
        <f t="shared" si="1"/>
        <v>71</v>
      </c>
      <c r="I12" s="23"/>
      <c r="J12" s="20" t="s">
        <v>27</v>
      </c>
      <c r="K12" s="6" t="s">
        <v>1005</v>
      </c>
      <c r="L12" s="25"/>
      <c r="M12" s="25" t="s">
        <v>1031</v>
      </c>
      <c r="N12" s="6"/>
      <c r="O12" s="6" t="s">
        <v>1032</v>
      </c>
      <c r="P12" s="6">
        <v>155</v>
      </c>
      <c r="Q12" s="6">
        <v>44</v>
      </c>
      <c r="R12" s="26">
        <v>71</v>
      </c>
      <c r="S12" s="26"/>
      <c r="T12" s="26"/>
      <c r="U12" s="26"/>
      <c r="V12" s="6" t="s">
        <v>1033</v>
      </c>
    </row>
    <row r="13" spans="1:22" s="4" customFormat="1" hidden="1">
      <c r="A13" s="20">
        <v>326</v>
      </c>
      <c r="B13" s="6" t="s">
        <v>996</v>
      </c>
      <c r="C13" s="6" t="s">
        <v>1034</v>
      </c>
      <c r="D13" s="6"/>
      <c r="E13" s="6" t="s">
        <v>40</v>
      </c>
      <c r="F13" s="33">
        <v>19759</v>
      </c>
      <c r="G13" s="21">
        <f t="shared" si="0"/>
        <v>1954</v>
      </c>
      <c r="H13" s="22">
        <f t="shared" si="1"/>
        <v>72</v>
      </c>
      <c r="I13" s="23" t="s">
        <v>27</v>
      </c>
      <c r="J13" s="20"/>
      <c r="K13" s="6" t="s">
        <v>1005</v>
      </c>
      <c r="L13" s="25"/>
      <c r="M13" s="25" t="s">
        <v>1035</v>
      </c>
      <c r="N13" s="6"/>
      <c r="O13" s="6" t="s">
        <v>1036</v>
      </c>
      <c r="P13" s="6">
        <v>149</v>
      </c>
      <c r="Q13" s="6">
        <v>49</v>
      </c>
      <c r="R13" s="26">
        <v>88</v>
      </c>
      <c r="S13" s="26"/>
      <c r="T13" s="26"/>
      <c r="U13" s="26"/>
      <c r="V13" s="6" t="s">
        <v>1037</v>
      </c>
    </row>
    <row r="14" spans="1:22" s="4" customFormat="1" hidden="1">
      <c r="A14" s="17">
        <v>327</v>
      </c>
      <c r="B14" s="6" t="s">
        <v>996</v>
      </c>
      <c r="C14" s="6" t="s">
        <v>1038</v>
      </c>
      <c r="D14" s="6"/>
      <c r="E14" s="6" t="s">
        <v>40</v>
      </c>
      <c r="F14" s="33">
        <v>15888</v>
      </c>
      <c r="G14" s="21">
        <f t="shared" si="0"/>
        <v>1943</v>
      </c>
      <c r="H14" s="22">
        <f t="shared" si="1"/>
        <v>83</v>
      </c>
      <c r="I14" s="23" t="s">
        <v>27</v>
      </c>
      <c r="J14" s="20"/>
      <c r="K14" s="6" t="s">
        <v>1005</v>
      </c>
      <c r="L14" s="25"/>
      <c r="M14" s="25" t="s">
        <v>1039</v>
      </c>
      <c r="N14" s="6"/>
      <c r="O14" s="6" t="s">
        <v>1040</v>
      </c>
      <c r="P14" s="6">
        <v>147</v>
      </c>
      <c r="Q14" s="6">
        <v>36</v>
      </c>
      <c r="R14" s="26">
        <v>85</v>
      </c>
      <c r="S14" s="26"/>
      <c r="T14" s="26"/>
      <c r="U14" s="26"/>
      <c r="V14" s="6" t="s">
        <v>1041</v>
      </c>
    </row>
    <row r="15" spans="1:22" s="4" customFormat="1" hidden="1">
      <c r="A15" s="20">
        <v>328</v>
      </c>
      <c r="B15" s="6" t="s">
        <v>996</v>
      </c>
      <c r="C15" s="6" t="s">
        <v>1042</v>
      </c>
      <c r="D15" s="6"/>
      <c r="E15" s="6" t="s">
        <v>2374</v>
      </c>
      <c r="F15" s="33">
        <v>30837</v>
      </c>
      <c r="G15" s="21">
        <f t="shared" si="0"/>
        <v>1984</v>
      </c>
      <c r="H15" s="22">
        <f t="shared" si="1"/>
        <v>42</v>
      </c>
      <c r="I15" s="23" t="s">
        <v>27</v>
      </c>
      <c r="J15" s="20"/>
      <c r="K15" s="6" t="s">
        <v>1014</v>
      </c>
      <c r="L15" s="25"/>
      <c r="M15" s="25" t="s">
        <v>1043</v>
      </c>
      <c r="N15" s="6"/>
      <c r="O15" s="6" t="s">
        <v>1044</v>
      </c>
      <c r="P15" s="6">
        <v>160</v>
      </c>
      <c r="Q15" s="6">
        <v>67</v>
      </c>
      <c r="R15" s="26">
        <v>111</v>
      </c>
      <c r="S15" s="26"/>
      <c r="T15" s="26"/>
      <c r="U15" s="26"/>
      <c r="V15" s="6" t="s">
        <v>1045</v>
      </c>
    </row>
    <row r="16" spans="1:22" s="4" customFormat="1" hidden="1">
      <c r="A16" s="17">
        <v>329</v>
      </c>
      <c r="B16" s="6" t="s">
        <v>996</v>
      </c>
      <c r="C16" s="6" t="s">
        <v>1046</v>
      </c>
      <c r="D16" s="6"/>
      <c r="E16" s="6" t="s">
        <v>40</v>
      </c>
      <c r="F16" s="33">
        <v>17715</v>
      </c>
      <c r="G16" s="21">
        <f t="shared" si="0"/>
        <v>1948</v>
      </c>
      <c r="H16" s="22">
        <f t="shared" si="1"/>
        <v>78</v>
      </c>
      <c r="I16" s="23" t="s">
        <v>27</v>
      </c>
      <c r="J16" s="20"/>
      <c r="K16" s="6"/>
      <c r="L16" s="25"/>
      <c r="M16" s="25" t="s">
        <v>1047</v>
      </c>
      <c r="N16" s="6"/>
      <c r="O16" s="6" t="s">
        <v>1048</v>
      </c>
      <c r="P16" s="6">
        <v>169</v>
      </c>
      <c r="Q16" s="6">
        <v>60</v>
      </c>
      <c r="R16" s="26">
        <v>70</v>
      </c>
      <c r="S16" s="26"/>
      <c r="T16" s="26"/>
      <c r="U16" s="26"/>
      <c r="V16" s="6" t="s">
        <v>1049</v>
      </c>
    </row>
    <row r="17" spans="1:22" s="4" customFormat="1" hidden="1">
      <c r="A17" s="20">
        <v>330</v>
      </c>
      <c r="B17" s="6" t="s">
        <v>996</v>
      </c>
      <c r="C17" s="6" t="s">
        <v>1050</v>
      </c>
      <c r="D17" s="6"/>
      <c r="E17" s="6" t="s">
        <v>2374</v>
      </c>
      <c r="F17" s="33">
        <v>26399</v>
      </c>
      <c r="G17" s="21">
        <f t="shared" si="0"/>
        <v>1972</v>
      </c>
      <c r="H17" s="22">
        <f t="shared" si="1"/>
        <v>54</v>
      </c>
      <c r="I17" s="23" t="s">
        <v>27</v>
      </c>
      <c r="J17" s="20"/>
      <c r="K17" s="6" t="s">
        <v>1005</v>
      </c>
      <c r="L17" s="25"/>
      <c r="M17" s="25" t="s">
        <v>1051</v>
      </c>
      <c r="N17" s="6"/>
      <c r="O17" s="6" t="s">
        <v>1052</v>
      </c>
      <c r="P17" s="6">
        <v>160</v>
      </c>
      <c r="Q17" s="6">
        <v>60</v>
      </c>
      <c r="R17" s="26">
        <v>78</v>
      </c>
      <c r="S17" s="26"/>
      <c r="T17" s="26"/>
      <c r="U17" s="26"/>
      <c r="V17" s="6" t="s">
        <v>1053</v>
      </c>
    </row>
    <row r="18" spans="1:22" s="4" customFormat="1" hidden="1">
      <c r="A18" s="17">
        <v>331</v>
      </c>
      <c r="B18" s="6" t="s">
        <v>996</v>
      </c>
      <c r="C18" s="6" t="s">
        <v>1054</v>
      </c>
      <c r="D18" s="6"/>
      <c r="E18" s="6" t="s">
        <v>40</v>
      </c>
      <c r="F18" s="33">
        <v>23948</v>
      </c>
      <c r="G18" s="21">
        <f t="shared" si="0"/>
        <v>1965</v>
      </c>
      <c r="H18" s="22">
        <f t="shared" si="1"/>
        <v>61</v>
      </c>
      <c r="I18" s="23" t="s">
        <v>27</v>
      </c>
      <c r="J18" s="20"/>
      <c r="K18" s="6" t="s">
        <v>1005</v>
      </c>
      <c r="L18" s="25"/>
      <c r="M18" s="25" t="s">
        <v>1055</v>
      </c>
      <c r="N18" s="6"/>
      <c r="O18" s="6" t="s">
        <v>143</v>
      </c>
      <c r="P18" s="6">
        <v>160</v>
      </c>
      <c r="Q18" s="6">
        <v>57</v>
      </c>
      <c r="R18" s="26">
        <v>80</v>
      </c>
      <c r="S18" s="26"/>
      <c r="T18" s="26"/>
      <c r="U18" s="26"/>
      <c r="V18" s="6" t="s">
        <v>1056</v>
      </c>
    </row>
    <row r="19" spans="1:22" s="4" customFormat="1" hidden="1">
      <c r="A19" s="20">
        <v>332</v>
      </c>
      <c r="B19" s="6" t="s">
        <v>996</v>
      </c>
      <c r="C19" s="6" t="s">
        <v>1057</v>
      </c>
      <c r="D19" s="6"/>
      <c r="E19" s="6" t="s">
        <v>2374</v>
      </c>
      <c r="F19" s="33">
        <v>27582</v>
      </c>
      <c r="G19" s="21">
        <f t="shared" si="0"/>
        <v>1975</v>
      </c>
      <c r="H19" s="22">
        <f t="shared" si="1"/>
        <v>51</v>
      </c>
      <c r="I19" s="23"/>
      <c r="J19" s="20" t="s">
        <v>27</v>
      </c>
      <c r="K19" s="6" t="s">
        <v>1005</v>
      </c>
      <c r="L19" s="25"/>
      <c r="M19" s="25" t="s">
        <v>1058</v>
      </c>
      <c r="N19" s="6"/>
      <c r="O19" s="6" t="s">
        <v>87</v>
      </c>
      <c r="P19" s="6">
        <v>155</v>
      </c>
      <c r="Q19" s="6">
        <v>48</v>
      </c>
      <c r="R19" s="26">
        <v>68</v>
      </c>
      <c r="S19" s="26"/>
      <c r="T19" s="26"/>
      <c r="U19" s="26"/>
      <c r="V19" s="6" t="s">
        <v>1059</v>
      </c>
    </row>
    <row r="20" spans="1:22" s="4" customFormat="1" hidden="1">
      <c r="A20" s="17">
        <v>333</v>
      </c>
      <c r="B20" s="6" t="s">
        <v>996</v>
      </c>
      <c r="C20" s="6" t="s">
        <v>1060</v>
      </c>
      <c r="D20" s="6"/>
      <c r="E20" s="6" t="s">
        <v>2374</v>
      </c>
      <c r="F20" s="33">
        <v>25082</v>
      </c>
      <c r="G20" s="21">
        <f t="shared" si="0"/>
        <v>1968</v>
      </c>
      <c r="H20" s="22">
        <f t="shared" si="1"/>
        <v>58</v>
      </c>
      <c r="I20" s="23" t="s">
        <v>27</v>
      </c>
      <c r="J20" s="20"/>
      <c r="K20" s="6" t="s">
        <v>1005</v>
      </c>
      <c r="L20" s="25"/>
      <c r="M20" s="25" t="s">
        <v>1061</v>
      </c>
      <c r="N20" s="6"/>
      <c r="O20" s="6" t="s">
        <v>34</v>
      </c>
      <c r="P20" s="6">
        <v>150</v>
      </c>
      <c r="Q20" s="6">
        <v>43</v>
      </c>
      <c r="R20" s="26">
        <v>73</v>
      </c>
      <c r="S20" s="26"/>
      <c r="T20" s="26"/>
      <c r="U20" s="26"/>
      <c r="V20" s="6" t="s">
        <v>1062</v>
      </c>
    </row>
    <row r="21" spans="1:22" s="2" customFormat="1" hidden="1">
      <c r="A21" s="20">
        <v>334</v>
      </c>
      <c r="B21" s="6" t="s">
        <v>996</v>
      </c>
      <c r="C21" s="6" t="s">
        <v>1063</v>
      </c>
      <c r="D21" s="6"/>
      <c r="E21" s="6" t="s">
        <v>2374</v>
      </c>
      <c r="F21" s="33">
        <v>26727</v>
      </c>
      <c r="G21" s="21">
        <f t="shared" si="0"/>
        <v>1973</v>
      </c>
      <c r="H21" s="22">
        <f t="shared" si="1"/>
        <v>53</v>
      </c>
      <c r="I21" s="23"/>
      <c r="J21" s="20" t="s">
        <v>27</v>
      </c>
      <c r="K21" s="6" t="s">
        <v>1005</v>
      </c>
      <c r="L21" s="25"/>
      <c r="M21" s="25" t="s">
        <v>1064</v>
      </c>
      <c r="N21" s="6"/>
      <c r="O21" s="6" t="s">
        <v>288</v>
      </c>
      <c r="P21" s="6">
        <v>150</v>
      </c>
      <c r="Q21" s="6">
        <v>50</v>
      </c>
      <c r="R21" s="26">
        <v>85</v>
      </c>
      <c r="S21" s="26"/>
      <c r="T21" s="26"/>
      <c r="U21" s="26"/>
      <c r="V21" s="6" t="s">
        <v>1065</v>
      </c>
    </row>
    <row r="22" spans="1:22" s="4" customFormat="1" hidden="1">
      <c r="A22" s="17">
        <v>335</v>
      </c>
      <c r="B22" s="6" t="s">
        <v>996</v>
      </c>
      <c r="C22" s="6" t="s">
        <v>1066</v>
      </c>
      <c r="D22" s="6"/>
      <c r="E22" s="6" t="s">
        <v>40</v>
      </c>
      <c r="F22" s="33">
        <v>16673</v>
      </c>
      <c r="G22" s="21">
        <f t="shared" si="0"/>
        <v>1945</v>
      </c>
      <c r="H22" s="22">
        <f t="shared" si="1"/>
        <v>81</v>
      </c>
      <c r="I22" s="23" t="s">
        <v>27</v>
      </c>
      <c r="J22" s="20"/>
      <c r="K22" s="6" t="s">
        <v>1005</v>
      </c>
      <c r="L22" s="25"/>
      <c r="M22" s="25" t="s">
        <v>1067</v>
      </c>
      <c r="N22" s="6"/>
      <c r="O22" s="6" t="s">
        <v>570</v>
      </c>
      <c r="P22" s="6">
        <v>160</v>
      </c>
      <c r="Q22" s="6">
        <v>46</v>
      </c>
      <c r="R22" s="26">
        <v>80</v>
      </c>
      <c r="S22" s="26"/>
      <c r="T22" s="26"/>
      <c r="U22" s="26"/>
      <c r="V22" s="6" t="s">
        <v>1068</v>
      </c>
    </row>
    <row r="23" spans="1:22" s="4" customFormat="1" hidden="1">
      <c r="A23" s="20">
        <v>336</v>
      </c>
      <c r="B23" s="6" t="s">
        <v>996</v>
      </c>
      <c r="C23" s="6" t="s">
        <v>1069</v>
      </c>
      <c r="D23" s="6"/>
      <c r="E23" s="6" t="s">
        <v>2374</v>
      </c>
      <c r="F23" s="33">
        <v>29313</v>
      </c>
      <c r="G23" s="21">
        <f t="shared" si="0"/>
        <v>1980</v>
      </c>
      <c r="H23" s="22">
        <f t="shared" si="1"/>
        <v>46</v>
      </c>
      <c r="I23" s="23"/>
      <c r="J23" s="20" t="s">
        <v>27</v>
      </c>
      <c r="K23" s="6" t="s">
        <v>1005</v>
      </c>
      <c r="L23" s="25"/>
      <c r="M23" s="43" t="s">
        <v>1070</v>
      </c>
      <c r="N23" s="6"/>
      <c r="O23" s="6" t="s">
        <v>87</v>
      </c>
      <c r="P23" s="6">
        <v>155</v>
      </c>
      <c r="Q23" s="6">
        <v>41</v>
      </c>
      <c r="R23" s="26">
        <v>80</v>
      </c>
      <c r="S23" s="26"/>
      <c r="T23" s="26"/>
      <c r="U23" s="26"/>
      <c r="V23" s="6" t="s">
        <v>1071</v>
      </c>
    </row>
    <row r="24" spans="1:22" s="4" customFormat="1" hidden="1">
      <c r="A24" s="17">
        <v>337</v>
      </c>
      <c r="B24" s="6" t="s">
        <v>996</v>
      </c>
      <c r="C24" s="6" t="s">
        <v>1072</v>
      </c>
      <c r="D24" s="6"/>
      <c r="E24" s="6" t="s">
        <v>2374</v>
      </c>
      <c r="F24" s="33">
        <v>35164</v>
      </c>
      <c r="G24" s="21">
        <f t="shared" si="0"/>
        <v>1996</v>
      </c>
      <c r="H24" s="22">
        <f t="shared" si="1"/>
        <v>30</v>
      </c>
      <c r="I24" s="23" t="s">
        <v>27</v>
      </c>
      <c r="J24" s="20"/>
      <c r="K24" s="6" t="s">
        <v>1005</v>
      </c>
      <c r="L24" s="25"/>
      <c r="M24" s="25" t="s">
        <v>1073</v>
      </c>
      <c r="N24" s="6"/>
      <c r="O24" s="6" t="s">
        <v>30</v>
      </c>
      <c r="P24" s="6">
        <v>172</v>
      </c>
      <c r="Q24" s="6">
        <v>75</v>
      </c>
      <c r="R24" s="26">
        <v>80</v>
      </c>
      <c r="S24" s="26"/>
      <c r="T24" s="26"/>
      <c r="U24" s="26"/>
      <c r="V24" s="26" t="s">
        <v>604</v>
      </c>
    </row>
    <row r="25" spans="1:22" s="4" customFormat="1" hidden="1">
      <c r="A25" s="20">
        <v>338</v>
      </c>
      <c r="B25" s="6" t="s">
        <v>996</v>
      </c>
      <c r="C25" s="6" t="s">
        <v>1074</v>
      </c>
      <c r="D25" s="6"/>
      <c r="E25" s="6" t="s">
        <v>40</v>
      </c>
      <c r="F25" s="33">
        <v>24108</v>
      </c>
      <c r="G25" s="21">
        <f t="shared" si="0"/>
        <v>1966</v>
      </c>
      <c r="H25" s="22">
        <f t="shared" si="1"/>
        <v>60</v>
      </c>
      <c r="I25" s="23" t="s">
        <v>27</v>
      </c>
      <c r="J25" s="20"/>
      <c r="K25" s="6" t="s">
        <v>1005</v>
      </c>
      <c r="L25" s="25"/>
      <c r="M25" s="25" t="s">
        <v>1075</v>
      </c>
      <c r="N25" s="6"/>
      <c r="O25" s="4" t="s">
        <v>687</v>
      </c>
      <c r="P25" s="6">
        <v>165</v>
      </c>
      <c r="Q25" s="6">
        <v>43</v>
      </c>
      <c r="R25" s="26">
        <v>80</v>
      </c>
      <c r="S25" s="26"/>
      <c r="T25" s="26"/>
      <c r="U25" s="26"/>
      <c r="V25" s="6" t="s">
        <v>1076</v>
      </c>
    </row>
    <row r="26" spans="1:22" s="4" customFormat="1" hidden="1">
      <c r="A26" s="17">
        <v>339</v>
      </c>
      <c r="B26" s="6" t="s">
        <v>996</v>
      </c>
      <c r="C26" s="6" t="s">
        <v>1077</v>
      </c>
      <c r="D26" s="6"/>
      <c r="E26" s="6" t="s">
        <v>40</v>
      </c>
      <c r="F26" s="33">
        <v>18843</v>
      </c>
      <c r="G26" s="21">
        <f t="shared" si="0"/>
        <v>1951</v>
      </c>
      <c r="H26" s="22">
        <f t="shared" si="1"/>
        <v>75</v>
      </c>
      <c r="I26" s="23" t="s">
        <v>27</v>
      </c>
      <c r="J26" s="20"/>
      <c r="K26" s="6" t="s">
        <v>1014</v>
      </c>
      <c r="L26" s="25"/>
      <c r="M26" s="25"/>
      <c r="N26" s="6"/>
      <c r="O26" s="6" t="s">
        <v>284</v>
      </c>
      <c r="P26" s="6">
        <v>156</v>
      </c>
      <c r="Q26" s="6">
        <v>61</v>
      </c>
      <c r="R26" s="26">
        <v>85</v>
      </c>
      <c r="S26" s="26"/>
      <c r="T26" s="26"/>
      <c r="U26" s="26"/>
      <c r="V26" s="6" t="s">
        <v>1078</v>
      </c>
    </row>
    <row r="27" spans="1:22" s="4" customFormat="1" hidden="1">
      <c r="A27" s="20">
        <v>340</v>
      </c>
      <c r="B27" s="6" t="s">
        <v>996</v>
      </c>
      <c r="C27" s="6" t="s">
        <v>1079</v>
      </c>
      <c r="D27" s="6"/>
      <c r="E27" s="6" t="s">
        <v>40</v>
      </c>
      <c r="F27" s="33">
        <v>19757</v>
      </c>
      <c r="G27" s="21">
        <f t="shared" si="0"/>
        <v>1954</v>
      </c>
      <c r="H27" s="22">
        <f t="shared" si="1"/>
        <v>72</v>
      </c>
      <c r="I27" s="23" t="s">
        <v>27</v>
      </c>
      <c r="J27" s="20"/>
      <c r="K27" s="6"/>
      <c r="L27" s="25"/>
      <c r="M27" s="25" t="s">
        <v>1080</v>
      </c>
      <c r="N27" s="6"/>
      <c r="O27" s="6" t="s">
        <v>1081</v>
      </c>
      <c r="P27" s="6">
        <v>158</v>
      </c>
      <c r="Q27" s="6">
        <v>58</v>
      </c>
      <c r="R27" s="26">
        <v>80</v>
      </c>
      <c r="S27" s="26"/>
      <c r="T27" s="26"/>
      <c r="U27" s="26"/>
      <c r="V27" s="6" t="s">
        <v>1082</v>
      </c>
    </row>
    <row r="28" spans="1:22" s="4" customFormat="1" hidden="1">
      <c r="A28" s="17">
        <v>341</v>
      </c>
      <c r="B28" s="6" t="s">
        <v>996</v>
      </c>
      <c r="C28" s="6" t="s">
        <v>1083</v>
      </c>
      <c r="D28" s="6"/>
      <c r="E28" s="6" t="s">
        <v>2374</v>
      </c>
      <c r="F28" s="33">
        <v>25009</v>
      </c>
      <c r="G28" s="21">
        <f t="shared" si="0"/>
        <v>1968</v>
      </c>
      <c r="H28" s="22">
        <f t="shared" si="1"/>
        <v>58</v>
      </c>
      <c r="I28" s="23" t="s">
        <v>27</v>
      </c>
      <c r="J28" s="20"/>
      <c r="K28" s="6" t="s">
        <v>1014</v>
      </c>
      <c r="L28" s="25"/>
      <c r="M28" s="25" t="s">
        <v>1084</v>
      </c>
      <c r="N28" s="6"/>
      <c r="O28" s="6" t="s">
        <v>149</v>
      </c>
      <c r="P28" s="6">
        <v>163</v>
      </c>
      <c r="Q28" s="6">
        <v>65</v>
      </c>
      <c r="R28" s="26">
        <v>80</v>
      </c>
      <c r="S28" s="26"/>
      <c r="T28" s="26"/>
      <c r="U28" s="26"/>
      <c r="V28" s="6" t="s">
        <v>1085</v>
      </c>
    </row>
    <row r="29" spans="1:22" s="4" customFormat="1" hidden="1">
      <c r="A29" s="20">
        <v>342</v>
      </c>
      <c r="B29" s="6" t="s">
        <v>996</v>
      </c>
      <c r="C29" s="6" t="s">
        <v>1086</v>
      </c>
      <c r="D29" s="6"/>
      <c r="E29" s="6" t="s">
        <v>40</v>
      </c>
      <c r="F29" s="33">
        <v>18489</v>
      </c>
      <c r="G29" s="21">
        <f t="shared" si="0"/>
        <v>1950</v>
      </c>
      <c r="H29" s="22">
        <f t="shared" si="1"/>
        <v>76</v>
      </c>
      <c r="I29" s="23" t="s">
        <v>27</v>
      </c>
      <c r="J29" s="20"/>
      <c r="K29" s="6" t="s">
        <v>1005</v>
      </c>
      <c r="L29" s="25"/>
      <c r="M29" s="25" t="s">
        <v>1087</v>
      </c>
      <c r="N29" s="6"/>
      <c r="O29" s="6" t="s">
        <v>1088</v>
      </c>
      <c r="P29" s="6">
        <v>146</v>
      </c>
      <c r="Q29" s="6">
        <v>31</v>
      </c>
      <c r="R29" s="26">
        <v>80</v>
      </c>
      <c r="S29" s="26"/>
      <c r="T29" s="26"/>
      <c r="U29" s="26"/>
      <c r="V29" s="6" t="s">
        <v>1089</v>
      </c>
    </row>
    <row r="30" spans="1:22" s="4" customFormat="1" hidden="1">
      <c r="A30" s="17">
        <v>343</v>
      </c>
      <c r="B30" s="6" t="s">
        <v>996</v>
      </c>
      <c r="C30" s="6" t="s">
        <v>1090</v>
      </c>
      <c r="D30" s="6"/>
      <c r="E30" s="6" t="s">
        <v>2374</v>
      </c>
      <c r="F30" s="33">
        <v>37948</v>
      </c>
      <c r="G30" s="21">
        <f t="shared" si="0"/>
        <v>2003</v>
      </c>
      <c r="H30" s="22">
        <f t="shared" si="1"/>
        <v>23</v>
      </c>
      <c r="I30" s="23"/>
      <c r="J30" s="20" t="s">
        <v>27</v>
      </c>
      <c r="K30" s="6" t="s">
        <v>1005</v>
      </c>
      <c r="L30" s="25"/>
      <c r="M30" s="25" t="s">
        <v>1091</v>
      </c>
      <c r="N30" s="6"/>
      <c r="O30" s="6" t="s">
        <v>149</v>
      </c>
      <c r="P30" s="6">
        <v>159</v>
      </c>
      <c r="Q30" s="6">
        <v>46</v>
      </c>
      <c r="R30" s="26">
        <v>80</v>
      </c>
      <c r="S30" s="26"/>
      <c r="T30" s="26"/>
      <c r="U30" s="26"/>
      <c r="V30" s="6" t="s">
        <v>1092</v>
      </c>
    </row>
    <row r="31" spans="1:22" s="4" customFormat="1" hidden="1">
      <c r="A31" s="20">
        <v>344</v>
      </c>
      <c r="B31" s="6" t="s">
        <v>996</v>
      </c>
      <c r="C31" s="6" t="s">
        <v>165</v>
      </c>
      <c r="D31" s="6"/>
      <c r="E31" s="6" t="s">
        <v>40</v>
      </c>
      <c r="F31" s="33">
        <v>24708</v>
      </c>
      <c r="G31" s="21">
        <f t="shared" si="0"/>
        <v>1967</v>
      </c>
      <c r="H31" s="22">
        <f t="shared" si="1"/>
        <v>59</v>
      </c>
      <c r="I31" s="23"/>
      <c r="J31" s="20" t="s">
        <v>27</v>
      </c>
      <c r="K31" s="6" t="s">
        <v>1005</v>
      </c>
      <c r="L31" s="25"/>
      <c r="M31" s="25" t="s">
        <v>1093</v>
      </c>
      <c r="N31" s="6"/>
      <c r="O31" s="6" t="s">
        <v>30</v>
      </c>
      <c r="P31" s="6">
        <v>147</v>
      </c>
      <c r="Q31" s="6">
        <v>43</v>
      </c>
      <c r="R31" s="26">
        <v>70</v>
      </c>
      <c r="S31" s="26"/>
      <c r="T31" s="26"/>
      <c r="U31" s="26"/>
      <c r="V31" s="6" t="s">
        <v>1094</v>
      </c>
    </row>
    <row r="32" spans="1:22" s="4" customFormat="1">
      <c r="A32" s="17">
        <v>345</v>
      </c>
      <c r="B32" s="6" t="s">
        <v>996</v>
      </c>
      <c r="C32" s="6" t="s">
        <v>1095</v>
      </c>
      <c r="D32" s="6"/>
      <c r="E32" s="6" t="s">
        <v>609</v>
      </c>
      <c r="F32" s="33">
        <v>17962</v>
      </c>
      <c r="G32" s="21">
        <f t="shared" si="0"/>
        <v>1949</v>
      </c>
      <c r="H32" s="22">
        <f t="shared" si="1"/>
        <v>77</v>
      </c>
      <c r="I32" s="23"/>
      <c r="J32" s="20" t="s">
        <v>27</v>
      </c>
      <c r="K32" s="6" t="s">
        <v>1005</v>
      </c>
      <c r="L32" s="25"/>
      <c r="M32" s="25" t="s">
        <v>1096</v>
      </c>
      <c r="N32" s="6"/>
      <c r="O32" s="6" t="s">
        <v>149</v>
      </c>
      <c r="P32" s="6">
        <v>147</v>
      </c>
      <c r="Q32" s="6">
        <v>35</v>
      </c>
      <c r="R32" s="26">
        <v>75</v>
      </c>
      <c r="S32" s="26"/>
      <c r="T32" s="26"/>
      <c r="U32" s="26"/>
      <c r="V32" s="6" t="s">
        <v>1097</v>
      </c>
    </row>
    <row r="33" spans="1:22" s="4" customFormat="1" hidden="1">
      <c r="A33" s="20">
        <v>346</v>
      </c>
      <c r="B33" s="6" t="s">
        <v>996</v>
      </c>
      <c r="C33" s="6" t="s">
        <v>960</v>
      </c>
      <c r="D33" s="6"/>
      <c r="E33" s="6" t="s">
        <v>40</v>
      </c>
      <c r="F33" s="33">
        <v>21199</v>
      </c>
      <c r="G33" s="21">
        <f t="shared" si="0"/>
        <v>1958</v>
      </c>
      <c r="H33" s="22">
        <f t="shared" si="1"/>
        <v>68</v>
      </c>
      <c r="I33" s="23"/>
      <c r="J33" s="20" t="s">
        <v>27</v>
      </c>
      <c r="K33" s="6" t="s">
        <v>1005</v>
      </c>
      <c r="L33" s="25"/>
      <c r="M33" s="25" t="s">
        <v>1098</v>
      </c>
      <c r="N33" s="6"/>
      <c r="O33" s="6" t="s">
        <v>1099</v>
      </c>
      <c r="P33" s="6">
        <v>155</v>
      </c>
      <c r="Q33" s="6">
        <v>57</v>
      </c>
      <c r="R33" s="26">
        <v>80</v>
      </c>
      <c r="S33" s="26"/>
      <c r="T33" s="26"/>
      <c r="U33" s="26"/>
      <c r="V33" s="6" t="s">
        <v>1100</v>
      </c>
    </row>
    <row r="34" spans="1:22" s="4" customFormat="1" hidden="1">
      <c r="A34" s="17">
        <v>347</v>
      </c>
      <c r="B34" s="6" t="s">
        <v>996</v>
      </c>
      <c r="C34" s="6" t="s">
        <v>1101</v>
      </c>
      <c r="D34" s="6"/>
      <c r="E34" s="6" t="s">
        <v>40</v>
      </c>
      <c r="F34" s="33">
        <v>23751</v>
      </c>
      <c r="G34" s="21">
        <f t="shared" si="0"/>
        <v>1965</v>
      </c>
      <c r="H34" s="22">
        <f t="shared" si="1"/>
        <v>61</v>
      </c>
      <c r="I34" s="23"/>
      <c r="J34" s="20" t="s">
        <v>27</v>
      </c>
      <c r="K34" s="6" t="s">
        <v>1005</v>
      </c>
      <c r="L34" s="25"/>
      <c r="M34" s="25" t="s">
        <v>1102</v>
      </c>
      <c r="N34" s="6"/>
      <c r="O34" s="6" t="s">
        <v>87</v>
      </c>
      <c r="P34" s="6">
        <v>145</v>
      </c>
      <c r="Q34" s="6">
        <v>35</v>
      </c>
      <c r="R34" s="26">
        <v>80</v>
      </c>
      <c r="S34" s="26"/>
      <c r="T34" s="26"/>
      <c r="U34" s="26"/>
      <c r="V34" s="6" t="s">
        <v>1103</v>
      </c>
    </row>
    <row r="35" spans="1:22" s="4" customFormat="1" hidden="1">
      <c r="A35" s="20">
        <v>348</v>
      </c>
      <c r="B35" s="6" t="s">
        <v>996</v>
      </c>
      <c r="C35" s="6" t="s">
        <v>1104</v>
      </c>
      <c r="D35" s="6"/>
      <c r="E35" s="6" t="s">
        <v>40</v>
      </c>
      <c r="F35" s="33">
        <v>16091</v>
      </c>
      <c r="G35" s="21">
        <f t="shared" si="0"/>
        <v>1944</v>
      </c>
      <c r="H35" s="22">
        <f t="shared" si="1"/>
        <v>82</v>
      </c>
      <c r="I35" s="23"/>
      <c r="J35" s="20" t="s">
        <v>27</v>
      </c>
      <c r="K35" s="6" t="s">
        <v>1005</v>
      </c>
      <c r="L35" s="25"/>
      <c r="M35" s="25" t="s">
        <v>1105</v>
      </c>
      <c r="N35" s="6"/>
      <c r="O35" s="6" t="s">
        <v>143</v>
      </c>
      <c r="P35" s="6">
        <v>146</v>
      </c>
      <c r="Q35" s="6">
        <v>44</v>
      </c>
      <c r="R35" s="26">
        <v>80</v>
      </c>
      <c r="S35" s="26"/>
      <c r="T35" s="26"/>
      <c r="U35" s="26"/>
      <c r="V35" s="6" t="s">
        <v>1106</v>
      </c>
    </row>
    <row r="36" spans="1:22" s="4" customFormat="1" hidden="1">
      <c r="A36" s="17">
        <v>349</v>
      </c>
      <c r="B36" s="6" t="s">
        <v>996</v>
      </c>
      <c r="C36" s="6" t="s">
        <v>1107</v>
      </c>
      <c r="D36" s="6"/>
      <c r="E36" s="6" t="s">
        <v>40</v>
      </c>
      <c r="F36" s="33">
        <v>19822</v>
      </c>
      <c r="G36" s="21">
        <f t="shared" si="0"/>
        <v>1954</v>
      </c>
      <c r="H36" s="22">
        <f t="shared" si="1"/>
        <v>72</v>
      </c>
      <c r="I36" s="23" t="s">
        <v>27</v>
      </c>
      <c r="J36" s="20"/>
      <c r="K36" s="6" t="s">
        <v>1005</v>
      </c>
      <c r="L36" s="25"/>
      <c r="M36" s="25" t="s">
        <v>1108</v>
      </c>
      <c r="N36" s="6"/>
      <c r="O36" s="6" t="s">
        <v>1109</v>
      </c>
      <c r="P36" s="6">
        <v>162</v>
      </c>
      <c r="Q36" s="6">
        <v>54</v>
      </c>
      <c r="R36" s="26">
        <v>80</v>
      </c>
      <c r="S36" s="26"/>
      <c r="T36" s="26"/>
      <c r="U36" s="26"/>
      <c r="V36" s="6" t="s">
        <v>1110</v>
      </c>
    </row>
    <row r="37" spans="1:22" s="4" customFormat="1">
      <c r="A37" s="20">
        <v>350</v>
      </c>
      <c r="B37" s="6" t="s">
        <v>996</v>
      </c>
      <c r="C37" s="6" t="s">
        <v>1111</v>
      </c>
      <c r="D37" s="6"/>
      <c r="E37" s="6" t="s">
        <v>609</v>
      </c>
      <c r="F37" s="33">
        <v>19820</v>
      </c>
      <c r="G37" s="21">
        <f t="shared" si="0"/>
        <v>1954</v>
      </c>
      <c r="H37" s="22">
        <f t="shared" si="1"/>
        <v>72</v>
      </c>
      <c r="I37" s="23"/>
      <c r="J37" s="20" t="s">
        <v>27</v>
      </c>
      <c r="K37" s="6"/>
      <c r="L37" s="25"/>
      <c r="M37" s="25" t="s">
        <v>1112</v>
      </c>
      <c r="N37" s="6"/>
      <c r="O37" s="6" t="s">
        <v>42</v>
      </c>
      <c r="P37" s="6">
        <v>149</v>
      </c>
      <c r="Q37" s="26">
        <v>40</v>
      </c>
      <c r="R37" s="4">
        <v>80</v>
      </c>
      <c r="V37" s="6" t="s">
        <v>1113</v>
      </c>
    </row>
    <row r="38" spans="1:22" s="4" customFormat="1" hidden="1">
      <c r="A38" s="17">
        <v>351</v>
      </c>
      <c r="B38" s="6" t="s">
        <v>996</v>
      </c>
      <c r="C38" s="6" t="s">
        <v>1114</v>
      </c>
      <c r="D38" s="6"/>
      <c r="E38" s="6" t="s">
        <v>40</v>
      </c>
      <c r="F38" s="33">
        <v>23908</v>
      </c>
      <c r="G38" s="21">
        <f t="shared" si="0"/>
        <v>1965</v>
      </c>
      <c r="H38" s="22">
        <f t="shared" si="1"/>
        <v>61</v>
      </c>
      <c r="I38" s="23" t="s">
        <v>27</v>
      </c>
      <c r="J38" s="20"/>
      <c r="K38" s="6" t="s">
        <v>1005</v>
      </c>
      <c r="L38" s="25"/>
      <c r="M38" s="25" t="s">
        <v>1115</v>
      </c>
      <c r="N38" s="6"/>
      <c r="O38" s="6" t="s">
        <v>87</v>
      </c>
      <c r="P38" s="6">
        <v>159</v>
      </c>
      <c r="Q38" s="26">
        <v>56.8</v>
      </c>
      <c r="R38" s="4">
        <v>78</v>
      </c>
      <c r="V38" s="6" t="s">
        <v>1116</v>
      </c>
    </row>
    <row r="39" spans="1:22" s="4" customFormat="1" hidden="1">
      <c r="A39" s="20">
        <v>352</v>
      </c>
      <c r="B39" s="6" t="s">
        <v>996</v>
      </c>
      <c r="C39" s="6" t="s">
        <v>1117</v>
      </c>
      <c r="D39" s="6"/>
      <c r="E39" s="6" t="s">
        <v>40</v>
      </c>
      <c r="F39" s="33">
        <v>16011</v>
      </c>
      <c r="G39" s="21">
        <f t="shared" si="0"/>
        <v>1943</v>
      </c>
      <c r="H39" s="22">
        <f t="shared" si="1"/>
        <v>83</v>
      </c>
      <c r="I39" s="23" t="s">
        <v>27</v>
      </c>
      <c r="J39" s="20"/>
      <c r="K39" s="6" t="s">
        <v>1005</v>
      </c>
      <c r="L39" s="25"/>
      <c r="M39" s="25" t="s">
        <v>1118</v>
      </c>
      <c r="N39" s="6"/>
      <c r="O39" s="6" t="s">
        <v>1119</v>
      </c>
      <c r="P39" s="6"/>
      <c r="Q39" s="26"/>
      <c r="R39" s="4">
        <v>84</v>
      </c>
      <c r="V39" s="6" t="s">
        <v>1120</v>
      </c>
    </row>
    <row r="40" spans="1:22" s="4" customFormat="1" hidden="1">
      <c r="A40" s="17">
        <v>353</v>
      </c>
      <c r="B40" s="6" t="s">
        <v>996</v>
      </c>
      <c r="C40" s="6" t="s">
        <v>1121</v>
      </c>
      <c r="D40" s="6"/>
      <c r="E40" s="6" t="s">
        <v>2374</v>
      </c>
      <c r="F40" s="33">
        <v>35431</v>
      </c>
      <c r="G40" s="21">
        <f t="shared" si="0"/>
        <v>1997</v>
      </c>
      <c r="H40" s="22">
        <f t="shared" si="1"/>
        <v>29</v>
      </c>
      <c r="I40" s="23"/>
      <c r="J40" s="20" t="s">
        <v>27</v>
      </c>
      <c r="K40" s="6" t="s">
        <v>1122</v>
      </c>
      <c r="L40" s="25"/>
      <c r="M40" s="25" t="s">
        <v>1123</v>
      </c>
      <c r="N40" s="6"/>
      <c r="O40" s="6" t="s">
        <v>113</v>
      </c>
      <c r="P40" s="6">
        <v>160</v>
      </c>
      <c r="Q40" s="6">
        <v>52</v>
      </c>
      <c r="R40" s="26">
        <v>73</v>
      </c>
      <c r="S40" s="26"/>
      <c r="T40" s="26"/>
      <c r="U40" s="26"/>
      <c r="V40" s="6" t="s">
        <v>1124</v>
      </c>
    </row>
    <row r="41" spans="1:22" s="4" customFormat="1" hidden="1">
      <c r="A41" s="20">
        <v>354</v>
      </c>
      <c r="B41" s="6" t="s">
        <v>996</v>
      </c>
      <c r="C41" s="6" t="s">
        <v>1125</v>
      </c>
      <c r="D41" s="6"/>
      <c r="E41" s="6" t="s">
        <v>40</v>
      </c>
      <c r="F41" s="33">
        <v>17816</v>
      </c>
      <c r="G41" s="21">
        <f t="shared" si="0"/>
        <v>1948</v>
      </c>
      <c r="H41" s="22">
        <f t="shared" si="1"/>
        <v>78</v>
      </c>
      <c r="I41" s="23"/>
      <c r="J41" s="20" t="s">
        <v>27</v>
      </c>
      <c r="K41" s="6" t="s">
        <v>1126</v>
      </c>
      <c r="L41" s="25"/>
      <c r="M41" s="25" t="s">
        <v>1127</v>
      </c>
      <c r="N41" s="6"/>
      <c r="O41" s="6" t="s">
        <v>143</v>
      </c>
      <c r="P41" s="6">
        <v>147</v>
      </c>
      <c r="Q41" s="6">
        <v>38</v>
      </c>
      <c r="R41" s="26">
        <v>78</v>
      </c>
      <c r="S41" s="26"/>
      <c r="T41" s="26"/>
      <c r="U41" s="26"/>
      <c r="V41" s="6" t="s">
        <v>1128</v>
      </c>
    </row>
    <row r="42" spans="1:22" s="4" customFormat="1" hidden="1">
      <c r="A42" s="17">
        <v>355</v>
      </c>
      <c r="B42" s="6" t="s">
        <v>996</v>
      </c>
      <c r="C42" s="6" t="s">
        <v>1129</v>
      </c>
      <c r="D42" s="6"/>
      <c r="E42" s="6" t="s">
        <v>40</v>
      </c>
      <c r="F42" s="33" t="s">
        <v>1130</v>
      </c>
      <c r="G42" s="21" t="str">
        <f>RIGHT(F42,4)</f>
        <v>1943</v>
      </c>
      <c r="H42" s="22">
        <f t="shared" si="1"/>
        <v>83</v>
      </c>
      <c r="I42" s="23" t="s">
        <v>27</v>
      </c>
      <c r="J42" s="20"/>
      <c r="K42" s="6" t="s">
        <v>1131</v>
      </c>
      <c r="L42" s="25"/>
      <c r="M42" s="25" t="s">
        <v>1132</v>
      </c>
      <c r="N42" s="6"/>
      <c r="O42" s="6" t="s">
        <v>288</v>
      </c>
      <c r="P42" s="6">
        <v>163</v>
      </c>
      <c r="Q42" s="6">
        <v>61</v>
      </c>
      <c r="R42" s="26">
        <v>80</v>
      </c>
      <c r="S42" s="26"/>
      <c r="T42" s="26"/>
      <c r="U42" s="26"/>
      <c r="V42" s="6" t="s">
        <v>1133</v>
      </c>
    </row>
    <row r="43" spans="1:22" s="4" customFormat="1" hidden="1">
      <c r="A43" s="20">
        <v>356</v>
      </c>
      <c r="B43" s="6" t="s">
        <v>996</v>
      </c>
      <c r="C43" s="6" t="s">
        <v>1134</v>
      </c>
      <c r="D43" s="6"/>
      <c r="E43" s="6" t="s">
        <v>40</v>
      </c>
      <c r="F43" s="33" t="s">
        <v>1135</v>
      </c>
      <c r="G43" s="21" t="str">
        <f>RIGHT(F43,4)</f>
        <v>1950</v>
      </c>
      <c r="H43" s="22">
        <f t="shared" si="1"/>
        <v>76</v>
      </c>
      <c r="I43" s="23" t="s">
        <v>27</v>
      </c>
      <c r="J43" s="20"/>
      <c r="K43" s="6" t="s">
        <v>1126</v>
      </c>
      <c r="L43" s="25"/>
      <c r="M43" s="25" t="s">
        <v>1136</v>
      </c>
      <c r="N43" s="6"/>
      <c r="O43" s="6" t="s">
        <v>149</v>
      </c>
      <c r="P43" s="6">
        <v>160</v>
      </c>
      <c r="Q43" s="6">
        <v>52</v>
      </c>
      <c r="R43" s="26">
        <v>70</v>
      </c>
      <c r="S43" s="26"/>
      <c r="T43" s="26"/>
      <c r="U43" s="26"/>
      <c r="V43" s="6" t="s">
        <v>1137</v>
      </c>
    </row>
    <row r="44" spans="1:22" s="4" customFormat="1" hidden="1">
      <c r="A44" s="17">
        <v>357</v>
      </c>
      <c r="B44" s="6" t="s">
        <v>996</v>
      </c>
      <c r="C44" s="6" t="s">
        <v>1138</v>
      </c>
      <c r="D44" s="6"/>
      <c r="E44" s="6" t="s">
        <v>40</v>
      </c>
      <c r="F44" s="33">
        <v>20738</v>
      </c>
      <c r="G44" s="21">
        <f>YEAR(F44)</f>
        <v>1956</v>
      </c>
      <c r="H44" s="22">
        <f t="shared" si="1"/>
        <v>70</v>
      </c>
      <c r="I44" s="23"/>
      <c r="J44" s="20" t="s">
        <v>27</v>
      </c>
      <c r="K44" s="6" t="s">
        <v>1126</v>
      </c>
      <c r="L44" s="25"/>
      <c r="M44" s="25" t="s">
        <v>1139</v>
      </c>
      <c r="N44" s="6"/>
      <c r="O44" s="6" t="s">
        <v>284</v>
      </c>
      <c r="P44" s="6">
        <v>156</v>
      </c>
      <c r="Q44" s="6">
        <v>50</v>
      </c>
      <c r="R44" s="26">
        <v>80</v>
      </c>
      <c r="S44" s="26"/>
      <c r="T44" s="26"/>
      <c r="U44" s="26"/>
      <c r="V44" s="6" t="s">
        <v>1140</v>
      </c>
    </row>
    <row r="45" spans="1:22" s="4" customFormat="1" hidden="1">
      <c r="A45" s="20">
        <v>358</v>
      </c>
      <c r="B45" s="6" t="s">
        <v>996</v>
      </c>
      <c r="C45" s="6" t="s">
        <v>490</v>
      </c>
      <c r="D45" s="6"/>
      <c r="E45" s="6" t="s">
        <v>40</v>
      </c>
      <c r="F45" s="33" t="s">
        <v>1141</v>
      </c>
      <c r="G45" s="21" t="str">
        <f>RIGHT(F45,4)</f>
        <v>1953</v>
      </c>
      <c r="H45" s="22">
        <f t="shared" si="1"/>
        <v>73</v>
      </c>
      <c r="I45" s="23"/>
      <c r="J45" s="20" t="s">
        <v>27</v>
      </c>
      <c r="K45" s="6" t="s">
        <v>1126</v>
      </c>
      <c r="L45" s="25"/>
      <c r="M45" s="25" t="s">
        <v>1142</v>
      </c>
      <c r="N45" s="6"/>
      <c r="O45" s="6" t="s">
        <v>288</v>
      </c>
      <c r="P45" s="6">
        <v>155</v>
      </c>
      <c r="Q45" s="6">
        <v>47</v>
      </c>
      <c r="R45" s="26">
        <v>80</v>
      </c>
      <c r="S45" s="26"/>
      <c r="T45" s="26"/>
      <c r="U45" s="26"/>
      <c r="V45" s="6" t="s">
        <v>1143</v>
      </c>
    </row>
    <row r="46" spans="1:22" s="4" customFormat="1" hidden="1">
      <c r="A46" s="17">
        <v>359</v>
      </c>
      <c r="B46" s="6" t="s">
        <v>996</v>
      </c>
      <c r="C46" s="6" t="s">
        <v>1144</v>
      </c>
      <c r="D46" s="6"/>
      <c r="E46" s="6" t="s">
        <v>40</v>
      </c>
      <c r="F46" s="33">
        <v>14581</v>
      </c>
      <c r="G46" s="21">
        <f>YEAR(F46)</f>
        <v>1939</v>
      </c>
      <c r="H46" s="22">
        <f t="shared" si="1"/>
        <v>87</v>
      </c>
      <c r="I46" s="23"/>
      <c r="J46" s="20" t="s">
        <v>27</v>
      </c>
      <c r="K46" s="6" t="s">
        <v>1126</v>
      </c>
      <c r="L46" s="25"/>
      <c r="M46" s="25" t="s">
        <v>1145</v>
      </c>
      <c r="N46" s="6"/>
      <c r="O46" s="6" t="s">
        <v>1146</v>
      </c>
      <c r="P46" s="6">
        <v>148</v>
      </c>
      <c r="Q46" s="6">
        <v>42</v>
      </c>
      <c r="R46" s="26">
        <v>80</v>
      </c>
      <c r="S46" s="26"/>
      <c r="T46" s="26"/>
      <c r="U46" s="26"/>
      <c r="V46" s="6" t="s">
        <v>1147</v>
      </c>
    </row>
    <row r="47" spans="1:22" s="4" customFormat="1" hidden="1">
      <c r="A47" s="20">
        <v>360</v>
      </c>
      <c r="B47" s="6" t="s">
        <v>996</v>
      </c>
      <c r="C47" s="6" t="s">
        <v>1148</v>
      </c>
      <c r="D47" s="6"/>
      <c r="E47" s="6" t="s">
        <v>40</v>
      </c>
      <c r="F47" s="33">
        <v>23377</v>
      </c>
      <c r="G47" s="21">
        <f>YEAR(F47)</f>
        <v>1964</v>
      </c>
      <c r="H47" s="22">
        <f t="shared" si="1"/>
        <v>62</v>
      </c>
      <c r="I47" s="23" t="s">
        <v>27</v>
      </c>
      <c r="J47" s="20"/>
      <c r="K47" s="6" t="s">
        <v>1131</v>
      </c>
      <c r="L47" s="25"/>
      <c r="M47" s="25" t="s">
        <v>1149</v>
      </c>
      <c r="N47" s="6"/>
      <c r="O47" s="6" t="s">
        <v>284</v>
      </c>
      <c r="P47" s="6">
        <v>155</v>
      </c>
      <c r="Q47" s="6">
        <v>37</v>
      </c>
      <c r="R47" s="26">
        <v>80</v>
      </c>
      <c r="S47" s="26"/>
      <c r="T47" s="26"/>
      <c r="U47" s="26"/>
      <c r="V47" s="6" t="s">
        <v>1150</v>
      </c>
    </row>
    <row r="48" spans="1:22" s="4" customFormat="1" hidden="1">
      <c r="A48" s="17">
        <v>361</v>
      </c>
      <c r="B48" s="6" t="s">
        <v>996</v>
      </c>
      <c r="C48" s="6" t="s">
        <v>1151</v>
      </c>
      <c r="D48" s="6"/>
      <c r="E48" s="6" t="s">
        <v>40</v>
      </c>
      <c r="F48" s="33">
        <v>19633</v>
      </c>
      <c r="G48" s="21">
        <f>YEAR(F48)</f>
        <v>1953</v>
      </c>
      <c r="H48" s="22">
        <f t="shared" si="1"/>
        <v>73</v>
      </c>
      <c r="I48" s="23"/>
      <c r="J48" s="20" t="s">
        <v>27</v>
      </c>
      <c r="K48" s="6" t="s">
        <v>1131</v>
      </c>
      <c r="L48" s="25"/>
      <c r="M48" s="25" t="s">
        <v>1152</v>
      </c>
      <c r="N48" s="6"/>
      <c r="O48" s="6" t="s">
        <v>288</v>
      </c>
      <c r="P48" s="6">
        <v>161</v>
      </c>
      <c r="Q48" s="6">
        <v>56</v>
      </c>
      <c r="R48" s="26">
        <v>80</v>
      </c>
      <c r="S48" s="26"/>
      <c r="T48" s="26"/>
      <c r="U48" s="26"/>
      <c r="V48" s="6" t="s">
        <v>1153</v>
      </c>
    </row>
    <row r="49" spans="1:22" s="4" customFormat="1" hidden="1">
      <c r="A49" s="20">
        <v>362</v>
      </c>
      <c r="B49" s="6" t="s">
        <v>996</v>
      </c>
      <c r="C49" s="6" t="s">
        <v>1154</v>
      </c>
      <c r="D49" s="6"/>
      <c r="E49" s="6" t="s">
        <v>40</v>
      </c>
      <c r="F49" s="33">
        <v>23377</v>
      </c>
      <c r="G49" s="21">
        <f>YEAR(F49)</f>
        <v>1964</v>
      </c>
      <c r="H49" s="22">
        <f t="shared" si="1"/>
        <v>62</v>
      </c>
      <c r="I49" s="20"/>
      <c r="J49" s="20" t="s">
        <v>27</v>
      </c>
      <c r="K49" s="6" t="s">
        <v>1126</v>
      </c>
      <c r="L49" s="25"/>
      <c r="M49" s="25" t="s">
        <v>1155</v>
      </c>
      <c r="N49" s="6"/>
      <c r="O49" s="6" t="s">
        <v>34</v>
      </c>
      <c r="P49" s="6">
        <v>150</v>
      </c>
      <c r="Q49" s="6">
        <v>49</v>
      </c>
      <c r="R49" s="26">
        <v>80</v>
      </c>
      <c r="S49" s="26"/>
      <c r="T49" s="26"/>
      <c r="U49" s="26"/>
      <c r="V49" s="6" t="s">
        <v>1156</v>
      </c>
    </row>
    <row r="50" spans="1:22" s="4" customFormat="1" hidden="1">
      <c r="A50" s="17">
        <v>363</v>
      </c>
      <c r="B50" s="6" t="s">
        <v>996</v>
      </c>
      <c r="C50" s="6" t="s">
        <v>1157</v>
      </c>
      <c r="D50" s="6"/>
      <c r="E50" s="6" t="s">
        <v>40</v>
      </c>
      <c r="F50" s="33" t="s">
        <v>1158</v>
      </c>
      <c r="G50" s="21" t="str">
        <f>RIGHT(F50,4)</f>
        <v>1963</v>
      </c>
      <c r="H50" s="22">
        <f t="shared" si="1"/>
        <v>63</v>
      </c>
      <c r="I50" s="23"/>
      <c r="J50" s="20" t="s">
        <v>27</v>
      </c>
      <c r="K50" s="6" t="s">
        <v>1005</v>
      </c>
      <c r="L50" s="25"/>
      <c r="M50" s="25" t="s">
        <v>1159</v>
      </c>
      <c r="N50" s="6"/>
      <c r="O50" s="6" t="s">
        <v>570</v>
      </c>
      <c r="P50" s="6">
        <v>154</v>
      </c>
      <c r="Q50" s="6">
        <v>55</v>
      </c>
      <c r="R50" s="26">
        <v>70</v>
      </c>
      <c r="S50" s="26"/>
      <c r="T50" s="26"/>
      <c r="U50" s="26"/>
      <c r="V50" s="6" t="s">
        <v>1160</v>
      </c>
    </row>
    <row r="51" spans="1:22" s="4" customFormat="1" hidden="1">
      <c r="A51" s="20">
        <v>364</v>
      </c>
      <c r="B51" s="6" t="s">
        <v>996</v>
      </c>
      <c r="C51" s="6" t="s">
        <v>1161</v>
      </c>
      <c r="D51" s="6"/>
      <c r="E51" s="6" t="s">
        <v>2374</v>
      </c>
      <c r="F51" s="33">
        <v>26574</v>
      </c>
      <c r="G51" s="21">
        <f>YEAR(F51)</f>
        <v>1972</v>
      </c>
      <c r="H51" s="22">
        <f t="shared" si="1"/>
        <v>54</v>
      </c>
      <c r="I51" s="23" t="s">
        <v>27</v>
      </c>
      <c r="J51" s="20"/>
      <c r="K51" s="6" t="s">
        <v>1005</v>
      </c>
      <c r="L51" s="25"/>
      <c r="M51" s="25" t="s">
        <v>1162</v>
      </c>
      <c r="N51" s="6"/>
      <c r="O51" s="6" t="s">
        <v>570</v>
      </c>
      <c r="P51" s="6">
        <v>170</v>
      </c>
      <c r="Q51" s="6">
        <v>62</v>
      </c>
      <c r="R51" s="26">
        <v>85</v>
      </c>
      <c r="S51" s="26"/>
      <c r="T51" s="26"/>
      <c r="U51" s="26"/>
      <c r="V51" s="6" t="s">
        <v>1163</v>
      </c>
    </row>
    <row r="52" spans="1:22" s="4" customFormat="1" hidden="1">
      <c r="A52" s="17">
        <v>365</v>
      </c>
      <c r="B52" s="6" t="s">
        <v>996</v>
      </c>
      <c r="C52" s="6" t="s">
        <v>1164</v>
      </c>
      <c r="D52" s="6"/>
      <c r="E52" s="6" t="s">
        <v>2374</v>
      </c>
      <c r="F52" s="33" t="s">
        <v>1165</v>
      </c>
      <c r="G52" s="21" t="str">
        <f>RIGHT(F52,4)</f>
        <v>1973</v>
      </c>
      <c r="H52" s="22">
        <f t="shared" si="1"/>
        <v>53</v>
      </c>
      <c r="I52" s="23"/>
      <c r="J52" s="20" t="s">
        <v>27</v>
      </c>
      <c r="K52" s="6" t="s">
        <v>1005</v>
      </c>
      <c r="L52" s="25"/>
      <c r="M52" s="25" t="s">
        <v>1166</v>
      </c>
      <c r="N52" s="6"/>
      <c r="O52" s="6" t="s">
        <v>1167</v>
      </c>
      <c r="P52" s="6">
        <v>165</v>
      </c>
      <c r="Q52" s="6">
        <v>52</v>
      </c>
      <c r="R52" s="26">
        <v>80</v>
      </c>
      <c r="S52" s="26"/>
      <c r="T52" s="26"/>
      <c r="U52" s="26"/>
      <c r="V52" s="6" t="s">
        <v>1168</v>
      </c>
    </row>
    <row r="53" spans="1:22" s="4" customFormat="1" hidden="1">
      <c r="A53" s="20">
        <v>366</v>
      </c>
      <c r="B53" s="6" t="s">
        <v>996</v>
      </c>
      <c r="C53" s="6" t="s">
        <v>1169</v>
      </c>
      <c r="D53" s="6"/>
      <c r="E53" s="6" t="s">
        <v>40</v>
      </c>
      <c r="F53" s="33">
        <v>23902</v>
      </c>
      <c r="G53" s="21">
        <f>YEAR(F53)</f>
        <v>1965</v>
      </c>
      <c r="H53" s="22">
        <f t="shared" si="1"/>
        <v>61</v>
      </c>
      <c r="I53" s="23"/>
      <c r="J53" s="20" t="s">
        <v>27</v>
      </c>
      <c r="K53" s="6" t="s">
        <v>1005</v>
      </c>
      <c r="L53" s="25"/>
      <c r="M53" s="25" t="s">
        <v>1170</v>
      </c>
      <c r="N53" s="6"/>
      <c r="O53" s="6" t="s">
        <v>34</v>
      </c>
      <c r="P53" s="6">
        <v>153</v>
      </c>
      <c r="Q53" s="6">
        <v>65</v>
      </c>
      <c r="R53" s="26">
        <v>80</v>
      </c>
      <c r="S53" s="26"/>
      <c r="T53" s="26"/>
      <c r="U53" s="26"/>
      <c r="V53" s="6" t="s">
        <v>1171</v>
      </c>
    </row>
    <row r="54" spans="1:22" s="4" customFormat="1" hidden="1">
      <c r="A54" s="17">
        <v>367</v>
      </c>
      <c r="B54" s="6" t="s">
        <v>996</v>
      </c>
      <c r="C54" s="6" t="s">
        <v>1172</v>
      </c>
      <c r="D54" s="6"/>
      <c r="E54" s="6" t="s">
        <v>40</v>
      </c>
      <c r="F54" s="33" t="s">
        <v>1173</v>
      </c>
      <c r="G54" s="21" t="str">
        <f>RIGHT(F54,4)</f>
        <v>1960</v>
      </c>
      <c r="H54" s="22">
        <f t="shared" si="1"/>
        <v>66</v>
      </c>
      <c r="I54" s="23"/>
      <c r="J54" s="20" t="s">
        <v>27</v>
      </c>
      <c r="K54" s="6" t="s">
        <v>1005</v>
      </c>
      <c r="L54" s="25"/>
      <c r="M54" s="25" t="s">
        <v>1174</v>
      </c>
      <c r="N54" s="6"/>
      <c r="O54" s="6" t="s">
        <v>1146</v>
      </c>
      <c r="P54" s="6">
        <v>155</v>
      </c>
      <c r="Q54" s="6">
        <v>50</v>
      </c>
      <c r="R54" s="26">
        <v>75</v>
      </c>
      <c r="S54" s="26"/>
      <c r="T54" s="26"/>
      <c r="U54" s="26"/>
      <c r="V54" s="6" t="s">
        <v>1175</v>
      </c>
    </row>
    <row r="55" spans="1:22" s="4" customFormat="1" hidden="1">
      <c r="A55" s="20">
        <v>368</v>
      </c>
      <c r="B55" s="6" t="s">
        <v>996</v>
      </c>
      <c r="C55" s="6" t="s">
        <v>1176</v>
      </c>
      <c r="D55" s="6"/>
      <c r="E55" s="6" t="s">
        <v>40</v>
      </c>
      <c r="F55" s="33">
        <v>20860</v>
      </c>
      <c r="G55" s="21">
        <f t="shared" ref="G55:G61" si="2">YEAR(F55)</f>
        <v>1957</v>
      </c>
      <c r="H55" s="22">
        <f t="shared" si="1"/>
        <v>69</v>
      </c>
      <c r="I55" s="23"/>
      <c r="J55" s="20" t="s">
        <v>27</v>
      </c>
      <c r="K55" s="6" t="s">
        <v>1005</v>
      </c>
      <c r="L55" s="25"/>
      <c r="M55" s="25" t="s">
        <v>1177</v>
      </c>
      <c r="N55" s="6"/>
      <c r="O55" s="6" t="s">
        <v>1178</v>
      </c>
      <c r="P55" s="6">
        <v>159</v>
      </c>
      <c r="Q55" s="6">
        <v>55</v>
      </c>
      <c r="R55" s="26">
        <v>80</v>
      </c>
      <c r="S55" s="26"/>
      <c r="T55" s="26"/>
      <c r="U55" s="26"/>
      <c r="V55" s="6" t="s">
        <v>1179</v>
      </c>
    </row>
    <row r="56" spans="1:22" s="4" customFormat="1" hidden="1">
      <c r="A56" s="17">
        <v>369</v>
      </c>
      <c r="B56" s="6" t="s">
        <v>996</v>
      </c>
      <c r="C56" s="6" t="s">
        <v>638</v>
      </c>
      <c r="D56" s="6"/>
      <c r="E56" s="6" t="s">
        <v>40</v>
      </c>
      <c r="F56" s="33">
        <v>23045</v>
      </c>
      <c r="G56" s="21">
        <f t="shared" si="2"/>
        <v>1963</v>
      </c>
      <c r="H56" s="22">
        <f t="shared" si="1"/>
        <v>63</v>
      </c>
      <c r="I56" s="23"/>
      <c r="J56" s="20" t="s">
        <v>27</v>
      </c>
      <c r="K56" s="6" t="s">
        <v>1005</v>
      </c>
      <c r="L56" s="25"/>
      <c r="M56" s="25" t="s">
        <v>1180</v>
      </c>
      <c r="N56" s="6"/>
      <c r="O56" s="6" t="s">
        <v>143</v>
      </c>
      <c r="P56" s="6">
        <v>145</v>
      </c>
      <c r="Q56" s="6">
        <v>40</v>
      </c>
      <c r="R56" s="26">
        <v>70</v>
      </c>
      <c r="S56" s="26"/>
      <c r="T56" s="26"/>
      <c r="U56" s="26"/>
      <c r="V56" s="6" t="s">
        <v>1181</v>
      </c>
    </row>
    <row r="57" spans="1:22" s="4" customFormat="1" hidden="1">
      <c r="A57" s="20">
        <v>370</v>
      </c>
      <c r="B57" s="6" t="s">
        <v>996</v>
      </c>
      <c r="C57" s="6" t="s">
        <v>1182</v>
      </c>
      <c r="D57" s="6"/>
      <c r="E57" s="6" t="s">
        <v>40</v>
      </c>
      <c r="F57" s="33">
        <v>22194</v>
      </c>
      <c r="G57" s="21">
        <f t="shared" si="2"/>
        <v>1960</v>
      </c>
      <c r="H57" s="22">
        <f t="shared" si="1"/>
        <v>66</v>
      </c>
      <c r="I57" s="23"/>
      <c r="J57" s="20" t="s">
        <v>27</v>
      </c>
      <c r="K57" s="6" t="s">
        <v>1014</v>
      </c>
      <c r="L57" s="25"/>
      <c r="M57" s="25" t="s">
        <v>1183</v>
      </c>
      <c r="N57" s="6"/>
      <c r="O57" s="6" t="s">
        <v>570</v>
      </c>
      <c r="P57" s="6">
        <v>149</v>
      </c>
      <c r="Q57" s="6">
        <v>35</v>
      </c>
      <c r="R57" s="26">
        <v>75</v>
      </c>
      <c r="S57" s="26"/>
      <c r="T57" s="26"/>
      <c r="U57" s="26"/>
      <c r="V57" s="6" t="s">
        <v>1184</v>
      </c>
    </row>
    <row r="58" spans="1:22" s="4" customFormat="1" hidden="1">
      <c r="A58" s="17">
        <v>371</v>
      </c>
      <c r="B58" s="6" t="s">
        <v>996</v>
      </c>
      <c r="C58" s="6" t="s">
        <v>1185</v>
      </c>
      <c r="D58" s="6"/>
      <c r="E58" s="6" t="s">
        <v>40</v>
      </c>
      <c r="F58" s="33">
        <v>20462</v>
      </c>
      <c r="G58" s="21">
        <f t="shared" si="2"/>
        <v>1956</v>
      </c>
      <c r="H58" s="22">
        <f t="shared" si="1"/>
        <v>70</v>
      </c>
      <c r="I58" s="23"/>
      <c r="J58" s="20" t="s">
        <v>27</v>
      </c>
      <c r="K58" s="6" t="s">
        <v>1005</v>
      </c>
      <c r="L58" s="25"/>
      <c r="M58" s="25" t="s">
        <v>1186</v>
      </c>
      <c r="N58" s="6"/>
      <c r="O58" s="6" t="s">
        <v>263</v>
      </c>
      <c r="P58" s="6">
        <v>155</v>
      </c>
      <c r="Q58" s="6">
        <v>55</v>
      </c>
      <c r="R58" s="26">
        <v>65</v>
      </c>
      <c r="S58" s="26"/>
      <c r="T58" s="26"/>
      <c r="U58" s="26"/>
      <c r="V58" s="6" t="s">
        <v>1187</v>
      </c>
    </row>
    <row r="59" spans="1:22" s="4" customFormat="1" hidden="1">
      <c r="A59" s="20">
        <v>372</v>
      </c>
      <c r="B59" s="6" t="s">
        <v>996</v>
      </c>
      <c r="C59" s="6" t="s">
        <v>1188</v>
      </c>
      <c r="D59" s="6"/>
      <c r="E59" s="6" t="s">
        <v>2374</v>
      </c>
      <c r="F59" s="33">
        <v>27734</v>
      </c>
      <c r="G59" s="21">
        <f t="shared" si="2"/>
        <v>1975</v>
      </c>
      <c r="H59" s="22">
        <f t="shared" si="1"/>
        <v>51</v>
      </c>
      <c r="I59" s="23" t="s">
        <v>27</v>
      </c>
      <c r="J59" s="20"/>
      <c r="K59" s="6" t="s">
        <v>1014</v>
      </c>
      <c r="L59" s="25"/>
      <c r="M59" s="25" t="s">
        <v>1189</v>
      </c>
      <c r="N59" s="6"/>
      <c r="O59" s="6" t="s">
        <v>784</v>
      </c>
      <c r="P59" s="6">
        <v>159</v>
      </c>
      <c r="Q59" s="6">
        <v>54</v>
      </c>
      <c r="R59" s="26">
        <v>80</v>
      </c>
      <c r="S59" s="26"/>
      <c r="T59" s="26"/>
      <c r="U59" s="26"/>
      <c r="V59" s="6" t="s">
        <v>1190</v>
      </c>
    </row>
    <row r="60" spans="1:22" s="4" customFormat="1" hidden="1">
      <c r="A60" s="17">
        <v>373</v>
      </c>
      <c r="B60" s="6" t="s">
        <v>996</v>
      </c>
      <c r="C60" s="6" t="s">
        <v>1191</v>
      </c>
      <c r="D60" s="6"/>
      <c r="E60" s="6" t="s">
        <v>2374</v>
      </c>
      <c r="F60" s="33">
        <v>30682</v>
      </c>
      <c r="G60" s="21">
        <f t="shared" si="2"/>
        <v>1984</v>
      </c>
      <c r="H60" s="22">
        <f t="shared" si="1"/>
        <v>42</v>
      </c>
      <c r="I60" s="23" t="s">
        <v>27</v>
      </c>
      <c r="J60" s="20"/>
      <c r="K60" s="6" t="s">
        <v>1005</v>
      </c>
      <c r="L60" s="25"/>
      <c r="M60" s="25" t="s">
        <v>1192</v>
      </c>
      <c r="N60" s="6"/>
      <c r="O60" s="6" t="s">
        <v>149</v>
      </c>
      <c r="P60" s="6">
        <v>170</v>
      </c>
      <c r="Q60" s="6">
        <v>68</v>
      </c>
      <c r="R60" s="26">
        <v>80</v>
      </c>
      <c r="S60" s="26"/>
      <c r="T60" s="26"/>
      <c r="U60" s="26"/>
      <c r="V60" s="6" t="s">
        <v>1193</v>
      </c>
    </row>
    <row r="61" spans="1:22" s="4" customFormat="1" hidden="1">
      <c r="A61" s="20">
        <v>374</v>
      </c>
      <c r="B61" s="6" t="s">
        <v>996</v>
      </c>
      <c r="C61" s="6" t="s">
        <v>1194</v>
      </c>
      <c r="D61" s="6"/>
      <c r="E61" s="6" t="s">
        <v>40</v>
      </c>
      <c r="F61" s="33">
        <v>16072</v>
      </c>
      <c r="G61" s="21">
        <f t="shared" si="2"/>
        <v>1944</v>
      </c>
      <c r="H61" s="22">
        <f t="shared" si="1"/>
        <v>82</v>
      </c>
      <c r="I61" s="23"/>
      <c r="J61" s="20" t="s">
        <v>27</v>
      </c>
      <c r="K61" s="6" t="s">
        <v>1014</v>
      </c>
      <c r="L61" s="25"/>
      <c r="M61" s="25"/>
      <c r="N61" s="6"/>
      <c r="O61" s="6" t="s">
        <v>42</v>
      </c>
      <c r="P61" s="6">
        <v>152</v>
      </c>
      <c r="Q61" s="6">
        <v>49</v>
      </c>
      <c r="R61" s="26">
        <v>90</v>
      </c>
      <c r="S61" s="26"/>
      <c r="T61" s="26"/>
      <c r="U61" s="26"/>
      <c r="V61" s="6" t="s">
        <v>1195</v>
      </c>
    </row>
    <row r="62" spans="1:22" s="4" customFormat="1" hidden="1">
      <c r="A62" s="17">
        <v>375</v>
      </c>
      <c r="B62" s="6" t="s">
        <v>996</v>
      </c>
      <c r="C62" s="6" t="s">
        <v>1196</v>
      </c>
      <c r="D62" s="6"/>
      <c r="E62" s="6" t="s">
        <v>40</v>
      </c>
      <c r="F62" s="33" t="s">
        <v>1197</v>
      </c>
      <c r="G62" s="21" t="str">
        <f>RIGHT(F62,4)</f>
        <v>1962</v>
      </c>
      <c r="H62" s="22">
        <f t="shared" si="1"/>
        <v>64</v>
      </c>
      <c r="I62" s="23" t="s">
        <v>27</v>
      </c>
      <c r="J62" s="20"/>
      <c r="K62" s="6" t="s">
        <v>1005</v>
      </c>
      <c r="L62" s="25"/>
      <c r="M62" s="25" t="s">
        <v>1198</v>
      </c>
      <c r="N62" s="6"/>
      <c r="O62" s="6" t="s">
        <v>42</v>
      </c>
      <c r="P62" s="6">
        <v>162</v>
      </c>
      <c r="Q62" s="6">
        <v>52</v>
      </c>
      <c r="R62" s="26">
        <v>70</v>
      </c>
      <c r="S62" s="26"/>
      <c r="T62" s="26"/>
      <c r="U62" s="26"/>
      <c r="V62" s="6" t="s">
        <v>1199</v>
      </c>
    </row>
    <row r="63" spans="1:22" s="4" customFormat="1" hidden="1">
      <c r="A63" s="20">
        <v>376</v>
      </c>
      <c r="B63" s="6" t="s">
        <v>996</v>
      </c>
      <c r="C63" s="6" t="s">
        <v>1200</v>
      </c>
      <c r="D63" s="6"/>
      <c r="E63" s="6" t="s">
        <v>40</v>
      </c>
      <c r="F63" s="33">
        <v>23631</v>
      </c>
      <c r="G63" s="21">
        <f t="shared" ref="G63:G99" si="3">YEAR(F63)</f>
        <v>1964</v>
      </c>
      <c r="H63" s="22">
        <f t="shared" si="1"/>
        <v>62</v>
      </c>
      <c r="I63" s="23" t="s">
        <v>27</v>
      </c>
      <c r="J63" s="20"/>
      <c r="K63" s="6" t="s">
        <v>1005</v>
      </c>
      <c r="L63" s="25"/>
      <c r="M63" s="25" t="s">
        <v>1201</v>
      </c>
      <c r="N63" s="6"/>
      <c r="O63" s="6" t="s">
        <v>143</v>
      </c>
      <c r="P63" s="6">
        <v>146</v>
      </c>
      <c r="Q63" s="6">
        <v>60</v>
      </c>
      <c r="R63" s="26">
        <v>80</v>
      </c>
      <c r="S63" s="26"/>
      <c r="T63" s="26"/>
      <c r="U63" s="26"/>
      <c r="V63" s="6" t="s">
        <v>1202</v>
      </c>
    </row>
    <row r="64" spans="1:22" s="4" customFormat="1" hidden="1">
      <c r="A64" s="17">
        <v>377</v>
      </c>
      <c r="B64" s="6" t="s">
        <v>996</v>
      </c>
      <c r="C64" s="6" t="s">
        <v>1203</v>
      </c>
      <c r="D64" s="6"/>
      <c r="E64" s="6" t="s">
        <v>2374</v>
      </c>
      <c r="F64" s="33">
        <v>29588</v>
      </c>
      <c r="G64" s="21">
        <f t="shared" si="3"/>
        <v>1981</v>
      </c>
      <c r="H64" s="22">
        <f t="shared" si="1"/>
        <v>45</v>
      </c>
      <c r="I64" s="23"/>
      <c r="J64" s="20" t="s">
        <v>27</v>
      </c>
      <c r="K64" s="6" t="s">
        <v>1005</v>
      </c>
      <c r="L64" s="25"/>
      <c r="M64" s="25"/>
      <c r="N64" s="6"/>
      <c r="O64" s="6" t="s">
        <v>504</v>
      </c>
      <c r="P64" s="6">
        <v>147</v>
      </c>
      <c r="Q64" s="6">
        <v>49</v>
      </c>
      <c r="R64" s="26">
        <v>70</v>
      </c>
      <c r="S64" s="26"/>
      <c r="T64" s="26"/>
      <c r="U64" s="26"/>
      <c r="V64" s="6" t="s">
        <v>1204</v>
      </c>
    </row>
    <row r="65" spans="1:22" s="4" customFormat="1" hidden="1">
      <c r="A65" s="20">
        <v>378</v>
      </c>
      <c r="B65" s="6" t="s">
        <v>996</v>
      </c>
      <c r="C65" s="6" t="s">
        <v>1205</v>
      </c>
      <c r="D65" s="6"/>
      <c r="E65" s="6" t="s">
        <v>2374</v>
      </c>
      <c r="F65" s="33">
        <v>26211</v>
      </c>
      <c r="G65" s="21">
        <f t="shared" si="3"/>
        <v>1971</v>
      </c>
      <c r="H65" s="22">
        <f t="shared" si="1"/>
        <v>55</v>
      </c>
      <c r="I65" s="23"/>
      <c r="J65" s="20" t="s">
        <v>27</v>
      </c>
      <c r="K65" s="6" t="s">
        <v>1005</v>
      </c>
      <c r="L65" s="25"/>
      <c r="M65" s="25" t="s">
        <v>1206</v>
      </c>
      <c r="N65" s="6"/>
      <c r="O65" s="6" t="s">
        <v>143</v>
      </c>
      <c r="P65" s="6">
        <v>152</v>
      </c>
      <c r="Q65" s="6">
        <v>40</v>
      </c>
      <c r="R65" s="26">
        <v>80</v>
      </c>
      <c r="S65" s="26"/>
      <c r="T65" s="26"/>
      <c r="U65" s="26"/>
      <c r="V65" s="6" t="s">
        <v>1207</v>
      </c>
    </row>
    <row r="66" spans="1:22" s="4" customFormat="1" hidden="1">
      <c r="A66" s="17">
        <v>379</v>
      </c>
      <c r="B66" s="6" t="s">
        <v>996</v>
      </c>
      <c r="C66" s="6" t="s">
        <v>1208</v>
      </c>
      <c r="D66" s="6"/>
      <c r="E66" s="6" t="s">
        <v>2374</v>
      </c>
      <c r="F66" s="33">
        <v>27578</v>
      </c>
      <c r="G66" s="21">
        <f t="shared" si="3"/>
        <v>1975</v>
      </c>
      <c r="H66" s="22">
        <f t="shared" si="1"/>
        <v>51</v>
      </c>
      <c r="I66" s="23"/>
      <c r="J66" s="20" t="s">
        <v>27</v>
      </c>
      <c r="K66" s="6" t="s">
        <v>1005</v>
      </c>
      <c r="L66" s="25"/>
      <c r="M66" s="25" t="s">
        <v>1209</v>
      </c>
      <c r="N66" s="6"/>
      <c r="O66" s="6" t="s">
        <v>284</v>
      </c>
      <c r="P66" s="6">
        <v>156</v>
      </c>
      <c r="Q66" s="6">
        <v>57</v>
      </c>
      <c r="R66" s="26">
        <v>75</v>
      </c>
      <c r="S66" s="26"/>
      <c r="T66" s="26"/>
      <c r="U66" s="26"/>
      <c r="V66" s="6" t="s">
        <v>1210</v>
      </c>
    </row>
    <row r="67" spans="1:22" s="4" customFormat="1" hidden="1">
      <c r="A67" s="20">
        <v>380</v>
      </c>
      <c r="B67" s="6" t="s">
        <v>996</v>
      </c>
      <c r="C67" s="6" t="s">
        <v>915</v>
      </c>
      <c r="D67" s="6"/>
      <c r="E67" s="6" t="s">
        <v>40</v>
      </c>
      <c r="F67" s="33">
        <v>19788</v>
      </c>
      <c r="G67" s="21">
        <f t="shared" si="3"/>
        <v>1954</v>
      </c>
      <c r="H67" s="22">
        <f t="shared" ref="H67:H99" si="4">2026-G67</f>
        <v>72</v>
      </c>
      <c r="I67" s="23"/>
      <c r="J67" s="20" t="s">
        <v>27</v>
      </c>
      <c r="K67" s="6" t="s">
        <v>1005</v>
      </c>
      <c r="L67" s="25"/>
      <c r="M67" s="25" t="s">
        <v>1211</v>
      </c>
      <c r="N67" s="6"/>
      <c r="O67" s="6" t="s">
        <v>389</v>
      </c>
      <c r="P67" s="6">
        <v>161</v>
      </c>
      <c r="Q67" s="6">
        <v>52</v>
      </c>
      <c r="R67" s="26">
        <v>80</v>
      </c>
      <c r="S67" s="26"/>
      <c r="T67" s="26"/>
      <c r="U67" s="26"/>
      <c r="V67" s="6" t="s">
        <v>1212</v>
      </c>
    </row>
    <row r="68" spans="1:22" s="4" customFormat="1" hidden="1">
      <c r="A68" s="17">
        <v>381</v>
      </c>
      <c r="B68" s="6" t="s">
        <v>996</v>
      </c>
      <c r="C68" s="6" t="s">
        <v>1213</v>
      </c>
      <c r="D68" s="6"/>
      <c r="E68" s="6" t="s">
        <v>2374</v>
      </c>
      <c r="F68" s="33">
        <v>24507</v>
      </c>
      <c r="G68" s="21">
        <f t="shared" si="3"/>
        <v>1967</v>
      </c>
      <c r="H68" s="22">
        <f t="shared" si="4"/>
        <v>59</v>
      </c>
      <c r="I68" s="23" t="s">
        <v>27</v>
      </c>
      <c r="J68" s="20"/>
      <c r="K68" s="6" t="s">
        <v>1005</v>
      </c>
      <c r="L68" s="25"/>
      <c r="M68" s="25" t="s">
        <v>1214</v>
      </c>
      <c r="N68" s="6"/>
      <c r="O68" s="6" t="s">
        <v>60</v>
      </c>
      <c r="P68" s="6">
        <v>166</v>
      </c>
      <c r="Q68" s="6">
        <v>45</v>
      </c>
      <c r="R68" s="26">
        <v>80</v>
      </c>
      <c r="S68" s="26"/>
      <c r="T68" s="26"/>
      <c r="U68" s="26"/>
      <c r="V68" s="6" t="s">
        <v>1215</v>
      </c>
    </row>
    <row r="69" spans="1:22" s="4" customFormat="1" hidden="1">
      <c r="A69" s="20">
        <v>382</v>
      </c>
      <c r="B69" s="6" t="s">
        <v>996</v>
      </c>
      <c r="C69" s="6" t="s">
        <v>1216</v>
      </c>
      <c r="D69" s="6"/>
      <c r="E69" s="6" t="s">
        <v>2374</v>
      </c>
      <c r="F69" s="33">
        <v>25204</v>
      </c>
      <c r="G69" s="21">
        <f t="shared" si="3"/>
        <v>1969</v>
      </c>
      <c r="H69" s="22">
        <f t="shared" si="4"/>
        <v>57</v>
      </c>
      <c r="I69" s="23"/>
      <c r="J69" s="20" t="s">
        <v>27</v>
      </c>
      <c r="K69" s="6" t="s">
        <v>1005</v>
      </c>
      <c r="L69" s="25"/>
      <c r="M69" s="25" t="s">
        <v>1217</v>
      </c>
      <c r="N69" s="6"/>
      <c r="O69" s="6" t="s">
        <v>104</v>
      </c>
      <c r="P69" s="6">
        <v>145</v>
      </c>
      <c r="Q69" s="6">
        <v>39</v>
      </c>
      <c r="R69" s="26">
        <v>90</v>
      </c>
      <c r="S69" s="26"/>
      <c r="T69" s="26"/>
      <c r="U69" s="26"/>
      <c r="V69" s="6" t="s">
        <v>1218</v>
      </c>
    </row>
    <row r="70" spans="1:22" s="4" customFormat="1" hidden="1">
      <c r="A70" s="17">
        <v>383</v>
      </c>
      <c r="B70" s="6" t="s">
        <v>996</v>
      </c>
      <c r="C70" s="6" t="s">
        <v>1219</v>
      </c>
      <c r="D70" s="6"/>
      <c r="E70" s="6" t="s">
        <v>2374</v>
      </c>
      <c r="F70" s="33">
        <v>24473</v>
      </c>
      <c r="G70" s="21">
        <f t="shared" si="3"/>
        <v>1967</v>
      </c>
      <c r="H70" s="22">
        <f t="shared" si="4"/>
        <v>59</v>
      </c>
      <c r="I70" s="23" t="s">
        <v>27</v>
      </c>
      <c r="J70" s="20"/>
      <c r="K70" s="6" t="s">
        <v>1005</v>
      </c>
      <c r="L70" s="25"/>
      <c r="M70" s="25" t="s">
        <v>1220</v>
      </c>
      <c r="N70" s="6"/>
      <c r="O70" s="6" t="s">
        <v>60</v>
      </c>
      <c r="P70" s="6">
        <v>166</v>
      </c>
      <c r="Q70" s="6">
        <v>61</v>
      </c>
      <c r="R70" s="26">
        <v>75</v>
      </c>
      <c r="S70" s="26"/>
      <c r="T70" s="26"/>
      <c r="U70" s="26"/>
      <c r="V70" s="6" t="s">
        <v>1221</v>
      </c>
    </row>
    <row r="71" spans="1:22" s="4" customFormat="1" hidden="1">
      <c r="A71" s="20">
        <v>384</v>
      </c>
      <c r="B71" s="6" t="s">
        <v>996</v>
      </c>
      <c r="C71" s="6" t="s">
        <v>1222</v>
      </c>
      <c r="D71" s="6"/>
      <c r="E71" s="6" t="s">
        <v>2374</v>
      </c>
      <c r="F71" s="33">
        <v>24511</v>
      </c>
      <c r="G71" s="21">
        <f t="shared" si="3"/>
        <v>1967</v>
      </c>
      <c r="H71" s="22">
        <f t="shared" si="4"/>
        <v>59</v>
      </c>
      <c r="I71" s="23" t="s">
        <v>27</v>
      </c>
      <c r="J71" s="20"/>
      <c r="K71" s="6" t="s">
        <v>1005</v>
      </c>
      <c r="L71" s="25"/>
      <c r="M71" s="25" t="s">
        <v>1223</v>
      </c>
      <c r="N71" s="6"/>
      <c r="O71" s="6" t="s">
        <v>60</v>
      </c>
      <c r="P71" s="6">
        <v>170</v>
      </c>
      <c r="Q71" s="6">
        <v>57</v>
      </c>
      <c r="R71" s="26">
        <v>80</v>
      </c>
      <c r="S71" s="26"/>
      <c r="T71" s="26"/>
      <c r="U71" s="26"/>
      <c r="V71" s="6" t="s">
        <v>1224</v>
      </c>
    </row>
    <row r="72" spans="1:22" s="4" customFormat="1" hidden="1">
      <c r="A72" s="3"/>
      <c r="B72" s="4" t="s">
        <v>1822</v>
      </c>
      <c r="C72" s="4" t="s">
        <v>1823</v>
      </c>
      <c r="E72" s="4" t="s">
        <v>40</v>
      </c>
      <c r="F72" s="44">
        <v>21587</v>
      </c>
      <c r="G72" s="4">
        <f t="shared" si="3"/>
        <v>1959</v>
      </c>
      <c r="H72" s="4">
        <f t="shared" si="4"/>
        <v>67</v>
      </c>
      <c r="I72" s="3"/>
      <c r="J72" s="3" t="s">
        <v>27</v>
      </c>
      <c r="K72" s="4" t="s">
        <v>1131</v>
      </c>
      <c r="L72" s="5"/>
      <c r="M72" s="5" t="s">
        <v>1824</v>
      </c>
      <c r="O72" s="4" t="s">
        <v>288</v>
      </c>
      <c r="P72" s="4">
        <v>150</v>
      </c>
      <c r="Q72" s="4">
        <v>38</v>
      </c>
      <c r="R72" s="4">
        <v>80</v>
      </c>
      <c r="V72" s="6" t="s">
        <v>1825</v>
      </c>
    </row>
    <row r="73" spans="1:22" s="4" customFormat="1" hidden="1">
      <c r="A73" s="3"/>
      <c r="B73" s="4" t="s">
        <v>1822</v>
      </c>
      <c r="C73" s="4" t="s">
        <v>1826</v>
      </c>
      <c r="E73" s="4" t="s">
        <v>40</v>
      </c>
      <c r="F73" s="4" t="s">
        <v>1827</v>
      </c>
      <c r="G73" s="21" t="str">
        <f t="shared" ref="G73:G74" si="5">RIGHT(F73,4)</f>
        <v>1955</v>
      </c>
      <c r="H73" s="4">
        <f t="shared" si="4"/>
        <v>71</v>
      </c>
      <c r="I73" s="3" t="s">
        <v>27</v>
      </c>
      <c r="J73" s="3"/>
      <c r="K73" s="4" t="s">
        <v>1126</v>
      </c>
      <c r="L73" s="5"/>
      <c r="M73" s="5" t="s">
        <v>1828</v>
      </c>
      <c r="O73" s="4" t="s">
        <v>143</v>
      </c>
      <c r="P73" s="4">
        <v>165</v>
      </c>
      <c r="Q73" s="4">
        <v>50</v>
      </c>
      <c r="R73" s="4">
        <v>87</v>
      </c>
      <c r="V73" s="6" t="s">
        <v>1829</v>
      </c>
    </row>
    <row r="74" spans="1:22" s="4" customFormat="1" hidden="1">
      <c r="A74" s="3"/>
      <c r="B74" s="4" t="s">
        <v>1822</v>
      </c>
      <c r="C74" s="4" t="s">
        <v>1455</v>
      </c>
      <c r="E74" s="4" t="s">
        <v>40</v>
      </c>
      <c r="F74" s="4" t="s">
        <v>1830</v>
      </c>
      <c r="G74" s="4" t="str">
        <f t="shared" si="5"/>
        <v>1941</v>
      </c>
      <c r="H74" s="4">
        <f t="shared" si="4"/>
        <v>85</v>
      </c>
      <c r="I74" s="3"/>
      <c r="J74" s="3" t="s">
        <v>27</v>
      </c>
      <c r="K74" s="4" t="s">
        <v>1126</v>
      </c>
      <c r="L74" s="5"/>
      <c r="M74" s="5" t="s">
        <v>1831</v>
      </c>
      <c r="O74" s="4" t="s">
        <v>284</v>
      </c>
      <c r="P74" s="4">
        <v>148</v>
      </c>
      <c r="Q74" s="4">
        <v>42</v>
      </c>
      <c r="R74" s="4">
        <v>75</v>
      </c>
      <c r="V74" s="6" t="s">
        <v>1832</v>
      </c>
    </row>
    <row r="75" spans="1:22" s="4" customFormat="1" hidden="1">
      <c r="A75" s="3"/>
      <c r="B75" s="4" t="s">
        <v>1822</v>
      </c>
      <c r="C75" s="4" t="s">
        <v>1491</v>
      </c>
      <c r="E75" s="4" t="s">
        <v>40</v>
      </c>
      <c r="F75" s="44">
        <v>21467</v>
      </c>
      <c r="G75" s="21">
        <f t="shared" si="3"/>
        <v>1958</v>
      </c>
      <c r="H75" s="4">
        <f t="shared" si="4"/>
        <v>68</v>
      </c>
      <c r="I75" s="3"/>
      <c r="J75" s="3" t="s">
        <v>27</v>
      </c>
      <c r="K75" s="4" t="s">
        <v>1833</v>
      </c>
      <c r="L75" s="5"/>
      <c r="M75" s="5" t="s">
        <v>1834</v>
      </c>
      <c r="O75" s="4" t="s">
        <v>60</v>
      </c>
      <c r="P75" s="4">
        <v>155</v>
      </c>
      <c r="Q75" s="4">
        <v>55</v>
      </c>
      <c r="R75" s="4">
        <v>79</v>
      </c>
      <c r="V75" s="6" t="s">
        <v>1835</v>
      </c>
    </row>
    <row r="76" spans="1:22" s="4" customFormat="1" hidden="1">
      <c r="A76" s="3"/>
      <c r="B76" s="4" t="s">
        <v>1822</v>
      </c>
      <c r="C76" s="4" t="s">
        <v>1836</v>
      </c>
      <c r="E76" s="4" t="s">
        <v>40</v>
      </c>
      <c r="F76" s="44">
        <v>23054</v>
      </c>
      <c r="G76" s="21">
        <f t="shared" si="3"/>
        <v>1963</v>
      </c>
      <c r="H76" s="4">
        <f t="shared" si="4"/>
        <v>63</v>
      </c>
      <c r="I76" s="3"/>
      <c r="J76" s="3" t="s">
        <v>27</v>
      </c>
      <c r="K76" s="4" t="s">
        <v>1126</v>
      </c>
      <c r="L76" s="5"/>
      <c r="M76" s="5" t="s">
        <v>1837</v>
      </c>
      <c r="O76" s="4" t="s">
        <v>87</v>
      </c>
      <c r="P76" s="4">
        <v>149</v>
      </c>
      <c r="Q76" s="4">
        <v>47</v>
      </c>
      <c r="R76" s="4">
        <v>73</v>
      </c>
      <c r="V76" s="6" t="s">
        <v>1838</v>
      </c>
    </row>
    <row r="77" spans="1:22" s="4" customFormat="1" hidden="1">
      <c r="A77" s="3"/>
      <c r="B77" s="4" t="s">
        <v>1822</v>
      </c>
      <c r="C77" s="4" t="s">
        <v>1839</v>
      </c>
      <c r="E77" s="4" t="s">
        <v>40</v>
      </c>
      <c r="F77" s="44">
        <v>16355</v>
      </c>
      <c r="G77" s="21">
        <f t="shared" si="3"/>
        <v>1944</v>
      </c>
      <c r="H77" s="4">
        <f t="shared" si="4"/>
        <v>82</v>
      </c>
      <c r="I77" s="3" t="s">
        <v>27</v>
      </c>
      <c r="J77" s="3"/>
      <c r="K77" s="4" t="s">
        <v>1126</v>
      </c>
      <c r="L77" s="5"/>
      <c r="M77" s="5" t="s">
        <v>1840</v>
      </c>
      <c r="O77" s="4" t="s">
        <v>87</v>
      </c>
      <c r="P77" s="4">
        <v>170</v>
      </c>
      <c r="Q77" s="4">
        <v>60</v>
      </c>
      <c r="R77" s="4">
        <v>80</v>
      </c>
      <c r="V77" s="6" t="s">
        <v>1841</v>
      </c>
    </row>
    <row r="78" spans="1:22" s="4" customFormat="1" hidden="1">
      <c r="A78" s="3"/>
      <c r="B78" s="4" t="s">
        <v>1822</v>
      </c>
      <c r="C78" s="4" t="s">
        <v>1842</v>
      </c>
      <c r="E78" s="64" t="s">
        <v>2374</v>
      </c>
      <c r="F78" s="44">
        <v>25603</v>
      </c>
      <c r="G78" s="21">
        <f t="shared" si="3"/>
        <v>1970</v>
      </c>
      <c r="H78" s="4">
        <f t="shared" si="4"/>
        <v>56</v>
      </c>
      <c r="I78" s="3"/>
      <c r="J78" s="3" t="s">
        <v>27</v>
      </c>
      <c r="K78" s="4" t="s">
        <v>1005</v>
      </c>
      <c r="L78" s="5"/>
      <c r="M78" s="5" t="s">
        <v>1843</v>
      </c>
      <c r="O78" s="4" t="s">
        <v>1844</v>
      </c>
      <c r="P78" s="4">
        <v>162</v>
      </c>
      <c r="Q78" s="4">
        <v>65</v>
      </c>
      <c r="R78" s="4">
        <v>85</v>
      </c>
      <c r="V78" s="6" t="s">
        <v>1845</v>
      </c>
    </row>
    <row r="79" spans="1:22" s="4" customFormat="1" hidden="1">
      <c r="A79" s="3"/>
      <c r="B79" s="4" t="s">
        <v>1822</v>
      </c>
      <c r="C79" s="4" t="s">
        <v>1846</v>
      </c>
      <c r="E79" s="4" t="s">
        <v>40</v>
      </c>
      <c r="F79" s="44">
        <v>19029</v>
      </c>
      <c r="G79" s="21">
        <f t="shared" si="3"/>
        <v>1952</v>
      </c>
      <c r="H79" s="4">
        <f t="shared" si="4"/>
        <v>74</v>
      </c>
      <c r="I79" s="3"/>
      <c r="J79" s="3" t="s">
        <v>27</v>
      </c>
      <c r="K79" s="4" t="s">
        <v>1126</v>
      </c>
      <c r="L79" s="5"/>
      <c r="M79" s="5" t="s">
        <v>1847</v>
      </c>
      <c r="O79" s="4" t="s">
        <v>113</v>
      </c>
      <c r="P79" s="4">
        <v>155</v>
      </c>
      <c r="Q79" s="4">
        <v>40</v>
      </c>
      <c r="R79" s="4">
        <v>73</v>
      </c>
      <c r="V79" s="6" t="s">
        <v>1848</v>
      </c>
    </row>
    <row r="80" spans="1:22" s="4" customFormat="1" hidden="1">
      <c r="A80" s="3"/>
      <c r="B80" s="4" t="s">
        <v>1822</v>
      </c>
      <c r="C80" s="4" t="s">
        <v>1849</v>
      </c>
      <c r="E80" s="4" t="s">
        <v>40</v>
      </c>
      <c r="F80" s="44">
        <v>22073</v>
      </c>
      <c r="G80" s="21">
        <f t="shared" si="3"/>
        <v>1960</v>
      </c>
      <c r="H80" s="4">
        <f t="shared" si="4"/>
        <v>66</v>
      </c>
      <c r="I80" s="3" t="s">
        <v>27</v>
      </c>
      <c r="J80" s="3"/>
      <c r="K80" s="4" t="s">
        <v>1126</v>
      </c>
      <c r="L80" s="5"/>
      <c r="M80" s="5" t="s">
        <v>1850</v>
      </c>
      <c r="O80" s="4" t="s">
        <v>34</v>
      </c>
      <c r="P80" s="4">
        <v>171</v>
      </c>
      <c r="Q80" s="4">
        <v>82</v>
      </c>
      <c r="R80" s="4">
        <v>75</v>
      </c>
      <c r="V80" s="6" t="s">
        <v>1851</v>
      </c>
    </row>
    <row r="81" spans="1:22" s="4" customFormat="1" hidden="1">
      <c r="A81" s="3"/>
      <c r="B81" s="4" t="s">
        <v>1822</v>
      </c>
      <c r="C81" s="4" t="s">
        <v>1852</v>
      </c>
      <c r="E81" s="4" t="s">
        <v>40</v>
      </c>
      <c r="F81" s="44">
        <v>24108</v>
      </c>
      <c r="G81" s="21">
        <f t="shared" si="3"/>
        <v>1966</v>
      </c>
      <c r="H81" s="4">
        <f t="shared" si="4"/>
        <v>60</v>
      </c>
      <c r="I81" s="3"/>
      <c r="J81" s="3" t="s">
        <v>27</v>
      </c>
      <c r="K81" s="4" t="s">
        <v>1005</v>
      </c>
      <c r="L81" s="5"/>
      <c r="M81" s="5" t="s">
        <v>1853</v>
      </c>
      <c r="O81" s="4" t="s">
        <v>34</v>
      </c>
      <c r="P81" s="4">
        <v>150</v>
      </c>
      <c r="Q81" s="4">
        <v>50</v>
      </c>
      <c r="R81" s="4">
        <v>80</v>
      </c>
      <c r="V81" s="6" t="s">
        <v>1854</v>
      </c>
    </row>
    <row r="82" spans="1:22" s="4" customFormat="1" hidden="1">
      <c r="A82" s="3"/>
      <c r="B82" s="4" t="s">
        <v>1822</v>
      </c>
      <c r="C82" s="4" t="s">
        <v>1855</v>
      </c>
      <c r="E82" s="4" t="s">
        <v>40</v>
      </c>
      <c r="F82" s="44">
        <v>16990</v>
      </c>
      <c r="G82" s="21">
        <f t="shared" si="3"/>
        <v>1946</v>
      </c>
      <c r="H82" s="4">
        <f t="shared" si="4"/>
        <v>80</v>
      </c>
      <c r="I82" s="3"/>
      <c r="J82" s="3" t="s">
        <v>27</v>
      </c>
      <c r="K82" s="4" t="s">
        <v>1126</v>
      </c>
      <c r="L82" s="5"/>
      <c r="M82" s="5" t="s">
        <v>1856</v>
      </c>
      <c r="O82" s="4" t="s">
        <v>570</v>
      </c>
      <c r="P82" s="4">
        <v>155</v>
      </c>
      <c r="Q82" s="4">
        <v>47</v>
      </c>
      <c r="R82" s="4">
        <v>77</v>
      </c>
      <c r="V82" s="6" t="s">
        <v>1857</v>
      </c>
    </row>
    <row r="83" spans="1:22" s="4" customFormat="1" hidden="1">
      <c r="A83" s="3"/>
      <c r="B83" s="4" t="s">
        <v>1822</v>
      </c>
      <c r="C83" s="4" t="s">
        <v>1858</v>
      </c>
      <c r="E83" s="64" t="s">
        <v>2374</v>
      </c>
      <c r="F83" s="4" t="s">
        <v>1859</v>
      </c>
      <c r="G83" s="21" t="str">
        <f t="shared" ref="G83:G87" si="6">RIGHT(F83,4)</f>
        <v>1985</v>
      </c>
      <c r="H83" s="4">
        <f t="shared" si="4"/>
        <v>41</v>
      </c>
      <c r="I83" s="3" t="s">
        <v>27</v>
      </c>
      <c r="J83" s="3"/>
      <c r="K83" s="4" t="s">
        <v>1230</v>
      </c>
      <c r="L83" s="5"/>
      <c r="M83" s="5" t="s">
        <v>1860</v>
      </c>
      <c r="O83" s="4" t="s">
        <v>87</v>
      </c>
      <c r="P83" s="4">
        <v>169</v>
      </c>
      <c r="Q83" s="4">
        <v>50</v>
      </c>
      <c r="R83" s="4">
        <v>73</v>
      </c>
      <c r="V83" s="6" t="s">
        <v>1861</v>
      </c>
    </row>
    <row r="84" spans="1:22" s="4" customFormat="1" hidden="1">
      <c r="A84" s="3"/>
      <c r="B84" s="4" t="s">
        <v>1822</v>
      </c>
      <c r="C84" s="4" t="s">
        <v>1057</v>
      </c>
      <c r="E84" s="64" t="s">
        <v>2374</v>
      </c>
      <c r="F84" s="44">
        <v>26946</v>
      </c>
      <c r="G84" s="21">
        <f t="shared" si="3"/>
        <v>1973</v>
      </c>
      <c r="H84" s="4">
        <f t="shared" si="4"/>
        <v>53</v>
      </c>
      <c r="I84" s="3"/>
      <c r="J84" s="3" t="s">
        <v>27</v>
      </c>
      <c r="K84" s="4" t="s">
        <v>1126</v>
      </c>
      <c r="L84" s="5"/>
      <c r="M84" s="5" t="s">
        <v>1862</v>
      </c>
      <c r="O84" s="4" t="s">
        <v>146</v>
      </c>
      <c r="P84" s="4">
        <v>152</v>
      </c>
      <c r="Q84" s="4">
        <v>53</v>
      </c>
      <c r="R84" s="4">
        <v>85</v>
      </c>
      <c r="V84" s="6" t="s">
        <v>1863</v>
      </c>
    </row>
    <row r="85" spans="1:22" s="4" customFormat="1" hidden="1">
      <c r="A85" s="3"/>
      <c r="B85" s="4" t="s">
        <v>1822</v>
      </c>
      <c r="C85" s="4" t="s">
        <v>1864</v>
      </c>
      <c r="E85" s="64" t="s">
        <v>2374</v>
      </c>
      <c r="F85" s="4" t="s">
        <v>1865</v>
      </c>
      <c r="G85" s="21" t="str">
        <f t="shared" si="6"/>
        <v>1996</v>
      </c>
      <c r="H85" s="4">
        <f t="shared" si="4"/>
        <v>30</v>
      </c>
      <c r="I85" s="3" t="s">
        <v>27</v>
      </c>
      <c r="J85" s="3"/>
      <c r="K85" s="4" t="s">
        <v>1122</v>
      </c>
      <c r="L85" s="5"/>
      <c r="M85" s="5" t="s">
        <v>1866</v>
      </c>
      <c r="O85" s="4" t="s">
        <v>60</v>
      </c>
      <c r="P85" s="4">
        <v>170</v>
      </c>
      <c r="Q85" s="4">
        <v>61</v>
      </c>
      <c r="R85" s="4">
        <v>75</v>
      </c>
      <c r="V85" s="6" t="s">
        <v>1867</v>
      </c>
    </row>
    <row r="86" spans="1:22" s="4" customFormat="1" hidden="1">
      <c r="A86" s="3"/>
      <c r="B86" s="4" t="s">
        <v>1822</v>
      </c>
      <c r="C86" s="4" t="s">
        <v>1868</v>
      </c>
      <c r="E86" s="64" t="s">
        <v>40</v>
      </c>
      <c r="F86" s="4" t="s">
        <v>1869</v>
      </c>
      <c r="G86" s="21" t="str">
        <f t="shared" si="6"/>
        <v>1958</v>
      </c>
      <c r="H86" s="4">
        <f t="shared" si="4"/>
        <v>68</v>
      </c>
      <c r="I86" s="3"/>
      <c r="J86" s="3" t="s">
        <v>27</v>
      </c>
      <c r="K86" s="4" t="s">
        <v>1126</v>
      </c>
      <c r="L86" s="5"/>
      <c r="M86" s="5" t="s">
        <v>1870</v>
      </c>
      <c r="O86" s="4" t="s">
        <v>146</v>
      </c>
      <c r="P86" s="4">
        <v>141</v>
      </c>
      <c r="Q86" s="4">
        <v>39</v>
      </c>
      <c r="R86" s="4">
        <v>79</v>
      </c>
      <c r="V86" s="6" t="s">
        <v>1871</v>
      </c>
    </row>
    <row r="87" spans="1:22" s="4" customFormat="1" hidden="1">
      <c r="A87" s="3"/>
      <c r="B87" s="4" t="s">
        <v>1822</v>
      </c>
      <c r="C87" s="4" t="s">
        <v>1872</v>
      </c>
      <c r="E87" s="64" t="s">
        <v>40</v>
      </c>
      <c r="F87" s="4" t="s">
        <v>1873</v>
      </c>
      <c r="G87" s="21" t="str">
        <f t="shared" si="6"/>
        <v>1942</v>
      </c>
      <c r="H87" s="4">
        <f t="shared" si="4"/>
        <v>84</v>
      </c>
      <c r="I87" s="3"/>
      <c r="J87" s="3" t="s">
        <v>27</v>
      </c>
      <c r="K87" s="4" t="s">
        <v>1005</v>
      </c>
      <c r="L87" s="5"/>
      <c r="M87" s="5" t="s">
        <v>1874</v>
      </c>
      <c r="O87" s="4" t="s">
        <v>60</v>
      </c>
      <c r="P87" s="4">
        <v>152</v>
      </c>
      <c r="Q87" s="4">
        <v>47</v>
      </c>
      <c r="R87" s="4">
        <v>89</v>
      </c>
      <c r="V87" s="6" t="s">
        <v>1875</v>
      </c>
    </row>
    <row r="88" spans="1:22" s="4" customFormat="1" hidden="1">
      <c r="A88" s="3"/>
      <c r="B88" s="4" t="s">
        <v>1822</v>
      </c>
      <c r="C88" s="4" t="s">
        <v>1876</v>
      </c>
      <c r="E88" s="64" t="s">
        <v>40</v>
      </c>
      <c r="F88" s="44">
        <v>21101</v>
      </c>
      <c r="G88" s="21">
        <f t="shared" si="3"/>
        <v>1957</v>
      </c>
      <c r="H88" s="4">
        <f t="shared" si="4"/>
        <v>69</v>
      </c>
      <c r="I88" s="3"/>
      <c r="J88" s="3" t="s">
        <v>27</v>
      </c>
      <c r="K88" s="4" t="s">
        <v>1126</v>
      </c>
      <c r="L88" s="5"/>
      <c r="M88" s="5" t="s">
        <v>1877</v>
      </c>
      <c r="O88" s="4" t="s">
        <v>1146</v>
      </c>
      <c r="P88" s="4">
        <v>157</v>
      </c>
      <c r="Q88" s="4">
        <v>39</v>
      </c>
      <c r="R88" s="4">
        <v>100</v>
      </c>
      <c r="V88" s="6" t="s">
        <v>1878</v>
      </c>
    </row>
    <row r="89" spans="1:22" s="4" customFormat="1" hidden="1">
      <c r="A89" s="3"/>
      <c r="B89" s="4" t="s">
        <v>1822</v>
      </c>
      <c r="C89" s="4" t="s">
        <v>1879</v>
      </c>
      <c r="E89" s="4" t="s">
        <v>40</v>
      </c>
      <c r="F89" s="44">
        <v>20126</v>
      </c>
      <c r="G89" s="21">
        <f t="shared" si="3"/>
        <v>1955</v>
      </c>
      <c r="H89" s="4">
        <f t="shared" si="4"/>
        <v>71</v>
      </c>
      <c r="I89" s="3"/>
      <c r="J89" s="3" t="s">
        <v>27</v>
      </c>
      <c r="K89" s="4" t="s">
        <v>1126</v>
      </c>
      <c r="L89" s="5"/>
      <c r="M89" s="5" t="s">
        <v>1880</v>
      </c>
      <c r="O89" s="4" t="s">
        <v>42</v>
      </c>
      <c r="P89" s="4">
        <v>155</v>
      </c>
      <c r="Q89" s="4">
        <v>62</v>
      </c>
      <c r="R89" s="4">
        <v>80</v>
      </c>
      <c r="V89" s="6" t="s">
        <v>1881</v>
      </c>
    </row>
    <row r="90" spans="1:22" s="4" customFormat="1" hidden="1">
      <c r="A90" s="3"/>
      <c r="B90" s="4" t="s">
        <v>1822</v>
      </c>
      <c r="C90" s="4" t="s">
        <v>1882</v>
      </c>
      <c r="E90" s="4" t="s">
        <v>40</v>
      </c>
      <c r="F90" s="4" t="s">
        <v>1883</v>
      </c>
      <c r="G90" s="21" t="str">
        <f t="shared" ref="G90:G91" si="7">RIGHT(F90,4)</f>
        <v>1965</v>
      </c>
      <c r="H90" s="4">
        <f t="shared" si="4"/>
        <v>61</v>
      </c>
      <c r="I90" s="3" t="s">
        <v>27</v>
      </c>
      <c r="J90" s="3"/>
      <c r="K90" s="4" t="s">
        <v>1131</v>
      </c>
      <c r="L90" s="5"/>
      <c r="M90" s="5" t="s">
        <v>1884</v>
      </c>
      <c r="O90" s="4" t="s">
        <v>34</v>
      </c>
      <c r="P90" s="4">
        <v>167</v>
      </c>
      <c r="Q90" s="4">
        <v>67</v>
      </c>
      <c r="R90" s="4">
        <v>80</v>
      </c>
      <c r="V90" s="6" t="s">
        <v>1885</v>
      </c>
    </row>
    <row r="91" spans="1:22" s="4" customFormat="1" hidden="1">
      <c r="A91" s="3"/>
      <c r="B91" s="4" t="s">
        <v>1822</v>
      </c>
      <c r="C91" s="4" t="s">
        <v>1886</v>
      </c>
      <c r="E91" s="64" t="s">
        <v>2374</v>
      </c>
      <c r="F91" s="4" t="s">
        <v>1887</v>
      </c>
      <c r="G91" s="21" t="str">
        <f t="shared" si="7"/>
        <v>2004</v>
      </c>
      <c r="H91" s="4">
        <f t="shared" si="4"/>
        <v>22</v>
      </c>
      <c r="I91" s="3" t="s">
        <v>27</v>
      </c>
      <c r="J91" s="3"/>
      <c r="K91" s="4" t="s">
        <v>1131</v>
      </c>
      <c r="L91" s="5"/>
      <c r="M91" s="5" t="s">
        <v>1888</v>
      </c>
      <c r="O91" s="4" t="s">
        <v>87</v>
      </c>
      <c r="P91" s="4">
        <v>168</v>
      </c>
      <c r="Q91" s="4">
        <v>58</v>
      </c>
      <c r="R91" s="4">
        <v>77</v>
      </c>
      <c r="V91" s="6" t="s">
        <v>1889</v>
      </c>
    </row>
    <row r="92" spans="1:22" s="4" customFormat="1" hidden="1">
      <c r="A92" s="3"/>
      <c r="B92" s="4" t="s">
        <v>1822</v>
      </c>
      <c r="C92" s="4" t="s">
        <v>1890</v>
      </c>
      <c r="E92" s="64" t="s">
        <v>2374</v>
      </c>
      <c r="F92" s="44">
        <v>26487</v>
      </c>
      <c r="G92" s="21">
        <f t="shared" si="3"/>
        <v>1972</v>
      </c>
      <c r="H92" s="4">
        <f t="shared" si="4"/>
        <v>54</v>
      </c>
      <c r="I92" s="3"/>
      <c r="J92" s="3" t="s">
        <v>27</v>
      </c>
      <c r="K92" s="4" t="s">
        <v>1126</v>
      </c>
      <c r="L92" s="5"/>
      <c r="M92" s="5" t="s">
        <v>1891</v>
      </c>
      <c r="O92" s="4" t="s">
        <v>1892</v>
      </c>
      <c r="P92" s="4">
        <v>150</v>
      </c>
      <c r="Q92" s="4">
        <v>48</v>
      </c>
      <c r="R92" s="4">
        <v>79</v>
      </c>
      <c r="V92" s="6" t="s">
        <v>1893</v>
      </c>
    </row>
    <row r="93" spans="1:22" s="4" customFormat="1" hidden="1">
      <c r="A93" s="3"/>
      <c r="B93" s="4" t="s">
        <v>1822</v>
      </c>
      <c r="C93" s="4" t="s">
        <v>1894</v>
      </c>
      <c r="E93" s="4" t="s">
        <v>40</v>
      </c>
      <c r="F93" s="44">
        <v>18179</v>
      </c>
      <c r="G93" s="21">
        <f t="shared" si="3"/>
        <v>1949</v>
      </c>
      <c r="H93" s="4">
        <f t="shared" si="4"/>
        <v>77</v>
      </c>
      <c r="I93" s="3"/>
      <c r="J93" s="3" t="s">
        <v>27</v>
      </c>
      <c r="K93" s="4" t="s">
        <v>1126</v>
      </c>
      <c r="L93" s="5"/>
      <c r="M93" s="5" t="s">
        <v>1895</v>
      </c>
      <c r="O93" s="4" t="s">
        <v>34</v>
      </c>
      <c r="P93" s="4">
        <v>150</v>
      </c>
      <c r="Q93" s="4">
        <v>48</v>
      </c>
      <c r="R93" s="4">
        <v>70</v>
      </c>
      <c r="V93" s="6" t="s">
        <v>1896</v>
      </c>
    </row>
    <row r="94" spans="1:22" s="4" customFormat="1" hidden="1">
      <c r="A94" s="3"/>
      <c r="B94" s="4" t="s">
        <v>1822</v>
      </c>
      <c r="C94" s="4" t="s">
        <v>1897</v>
      </c>
      <c r="E94" s="4" t="s">
        <v>40</v>
      </c>
      <c r="F94" s="44">
        <v>20372</v>
      </c>
      <c r="G94" s="21">
        <f t="shared" si="3"/>
        <v>1955</v>
      </c>
      <c r="H94" s="4">
        <f t="shared" si="4"/>
        <v>71</v>
      </c>
      <c r="I94" s="3"/>
      <c r="J94" s="3" t="s">
        <v>27</v>
      </c>
      <c r="K94" s="4" t="s">
        <v>1126</v>
      </c>
      <c r="L94" s="5"/>
      <c r="M94" s="5" t="s">
        <v>1898</v>
      </c>
      <c r="O94" s="4" t="s">
        <v>570</v>
      </c>
      <c r="P94" s="4">
        <v>149</v>
      </c>
      <c r="Q94" s="4">
        <v>52</v>
      </c>
      <c r="R94" s="4">
        <v>73</v>
      </c>
      <c r="V94" s="6" t="s">
        <v>1899</v>
      </c>
    </row>
    <row r="95" spans="1:22" s="4" customFormat="1" hidden="1">
      <c r="A95" s="3"/>
      <c r="B95" s="4" t="s">
        <v>1822</v>
      </c>
      <c r="C95" s="4" t="s">
        <v>1900</v>
      </c>
      <c r="E95" s="4" t="s">
        <v>40</v>
      </c>
      <c r="F95" s="44">
        <v>20090</v>
      </c>
      <c r="G95" s="21">
        <f t="shared" si="3"/>
        <v>1955</v>
      </c>
      <c r="H95" s="4">
        <f t="shared" si="4"/>
        <v>71</v>
      </c>
      <c r="I95" s="3"/>
      <c r="J95" s="3" t="s">
        <v>27</v>
      </c>
      <c r="K95" s="4" t="s">
        <v>1126</v>
      </c>
      <c r="L95" s="5"/>
      <c r="M95" s="5" t="s">
        <v>1901</v>
      </c>
      <c r="O95" s="4" t="s">
        <v>60</v>
      </c>
      <c r="P95" s="4">
        <v>158</v>
      </c>
      <c r="Q95" s="4">
        <v>47</v>
      </c>
      <c r="R95" s="4">
        <v>79</v>
      </c>
      <c r="V95" s="6" t="s">
        <v>1902</v>
      </c>
    </row>
    <row r="96" spans="1:22" s="4" customFormat="1" hidden="1">
      <c r="A96" s="3"/>
      <c r="B96" s="4" t="s">
        <v>1822</v>
      </c>
      <c r="C96" s="4" t="s">
        <v>1903</v>
      </c>
      <c r="E96" s="4" t="s">
        <v>40</v>
      </c>
      <c r="F96" s="4" t="s">
        <v>1904</v>
      </c>
      <c r="G96" s="21" t="str">
        <f t="shared" ref="G96" si="8">RIGHT(F96,4)</f>
        <v>1956</v>
      </c>
      <c r="H96" s="4">
        <f t="shared" si="4"/>
        <v>70</v>
      </c>
      <c r="I96" s="3"/>
      <c r="J96" s="3" t="s">
        <v>27</v>
      </c>
      <c r="K96" s="4" t="s">
        <v>1014</v>
      </c>
      <c r="L96" s="5"/>
      <c r="M96" s="5" t="s">
        <v>1905</v>
      </c>
      <c r="O96" s="4" t="s">
        <v>1906</v>
      </c>
      <c r="P96" s="4">
        <v>151</v>
      </c>
      <c r="Q96" s="4">
        <v>49</v>
      </c>
      <c r="R96" s="4">
        <v>120</v>
      </c>
      <c r="V96" s="6" t="s">
        <v>1907</v>
      </c>
    </row>
    <row r="97" spans="1:22" s="4" customFormat="1" hidden="1">
      <c r="A97" s="3"/>
      <c r="B97" s="4" t="s">
        <v>1822</v>
      </c>
      <c r="C97" s="4" t="s">
        <v>1908</v>
      </c>
      <c r="E97" s="4" t="s">
        <v>40</v>
      </c>
      <c r="F97" s="44">
        <v>19725</v>
      </c>
      <c r="G97" s="21">
        <f t="shared" si="3"/>
        <v>1954</v>
      </c>
      <c r="H97" s="4">
        <f t="shared" si="4"/>
        <v>72</v>
      </c>
      <c r="I97" s="3" t="s">
        <v>27</v>
      </c>
      <c r="J97" s="3"/>
      <c r="K97" s="4" t="s">
        <v>1126</v>
      </c>
      <c r="L97" s="5"/>
      <c r="M97" s="5" t="s">
        <v>1909</v>
      </c>
      <c r="O97" s="4" t="s">
        <v>60</v>
      </c>
      <c r="P97" s="4">
        <v>170</v>
      </c>
      <c r="Q97" s="4">
        <v>44</v>
      </c>
      <c r="R97" s="4">
        <v>75</v>
      </c>
      <c r="V97" s="6" t="s">
        <v>1910</v>
      </c>
    </row>
    <row r="98" spans="1:22" s="4" customFormat="1" hidden="1">
      <c r="A98" s="3"/>
      <c r="B98" s="4" t="s">
        <v>1822</v>
      </c>
      <c r="C98" s="4" t="s">
        <v>1911</v>
      </c>
      <c r="E98" s="4" t="s">
        <v>40</v>
      </c>
      <c r="F98" s="44">
        <v>19825</v>
      </c>
      <c r="G98" s="21">
        <f t="shared" si="3"/>
        <v>1954</v>
      </c>
      <c r="H98" s="4">
        <f t="shared" si="4"/>
        <v>72</v>
      </c>
      <c r="I98" s="3" t="s">
        <v>27</v>
      </c>
      <c r="J98" s="3"/>
      <c r="K98" s="4" t="s">
        <v>1126</v>
      </c>
      <c r="L98" s="5"/>
      <c r="M98" s="5" t="s">
        <v>1912</v>
      </c>
      <c r="O98" s="4" t="s">
        <v>1463</v>
      </c>
      <c r="P98" s="4">
        <v>170</v>
      </c>
      <c r="Q98" s="4">
        <v>70</v>
      </c>
      <c r="R98" s="4">
        <v>80</v>
      </c>
      <c r="V98" s="6" t="s">
        <v>1913</v>
      </c>
    </row>
    <row r="99" spans="1:22" s="4" customFormat="1" hidden="1">
      <c r="A99" s="3"/>
      <c r="B99" s="4" t="s">
        <v>1822</v>
      </c>
      <c r="C99" s="4" t="s">
        <v>1914</v>
      </c>
      <c r="E99" s="4" t="s">
        <v>40</v>
      </c>
      <c r="F99" s="44">
        <v>19032</v>
      </c>
      <c r="G99" s="21">
        <f t="shared" si="3"/>
        <v>1952</v>
      </c>
      <c r="H99" s="4">
        <f t="shared" si="4"/>
        <v>74</v>
      </c>
      <c r="I99" s="3"/>
      <c r="J99" s="3" t="s">
        <v>27</v>
      </c>
      <c r="K99" s="4" t="s">
        <v>1126</v>
      </c>
      <c r="L99" s="5"/>
      <c r="M99" s="5" t="s">
        <v>1915</v>
      </c>
      <c r="O99" s="4" t="s">
        <v>570</v>
      </c>
      <c r="V99" s="6" t="s">
        <v>1916</v>
      </c>
    </row>
  </sheetData>
  <autoFilter ref="A2:X99" xr:uid="{4CDDDB1A-7A6E-42AD-82A9-7BDFF71D580D}">
    <filterColumn colId="4">
      <filters>
        <filter val="KHUYẾT TẬT"/>
      </filters>
    </filterColumn>
  </autoFilter>
  <mergeCells count="1">
    <mergeCell ref="I1:J1"/>
  </mergeCells>
  <conditionalFormatting sqref="C1:D2">
    <cfRule type="duplicateValues" dxfId="7" priority="3"/>
  </conditionalFormatting>
  <conditionalFormatting sqref="C3:D71">
    <cfRule type="duplicateValues" dxfId="6" priority="2"/>
  </conditionalFormatting>
  <conditionalFormatting sqref="C72:D99">
    <cfRule type="duplicat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1F55-73CA-4BB3-9D56-7459B02D981B}">
  <sheetPr filterMode="1"/>
  <dimension ref="A1:W143"/>
  <sheetViews>
    <sheetView workbookViewId="0">
      <selection sqref="A1:XFD2"/>
    </sheetView>
  </sheetViews>
  <sheetFormatPr defaultRowHeight="15"/>
  <cols>
    <col min="2" max="2" width="17.5703125" customWidth="1"/>
    <col min="5" max="5" width="18" customWidth="1"/>
    <col min="6" max="6" width="14.140625" customWidth="1"/>
    <col min="7" max="7" width="13.28515625" customWidth="1"/>
  </cols>
  <sheetData>
    <row r="1" spans="1:22" s="1" customFormat="1" ht="57">
      <c r="A1" s="9" t="s">
        <v>4</v>
      </c>
      <c r="B1" s="9" t="s">
        <v>5</v>
      </c>
      <c r="C1" s="9" t="s">
        <v>6</v>
      </c>
      <c r="D1" s="9"/>
      <c r="E1" s="10" t="s">
        <v>7</v>
      </c>
      <c r="F1" s="9" t="s">
        <v>8</v>
      </c>
      <c r="G1" s="11" t="s">
        <v>9</v>
      </c>
      <c r="H1" s="11" t="s">
        <v>10</v>
      </c>
      <c r="I1" s="69" t="s">
        <v>11</v>
      </c>
      <c r="J1" s="70"/>
      <c r="K1" s="9" t="s">
        <v>12</v>
      </c>
      <c r="L1" s="13" t="s">
        <v>13</v>
      </c>
      <c r="M1" s="13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</row>
    <row r="2" spans="1:22" s="1" customFormat="1" ht="14.25">
      <c r="A2" s="11"/>
      <c r="B2" s="16"/>
      <c r="C2" s="12"/>
      <c r="D2" s="12"/>
      <c r="E2" s="10"/>
      <c r="F2" s="9"/>
      <c r="G2" s="11"/>
      <c r="H2" s="11"/>
      <c r="I2" s="11" t="s">
        <v>24</v>
      </c>
      <c r="J2" s="12" t="s">
        <v>25</v>
      </c>
      <c r="K2" s="9"/>
      <c r="L2" s="13"/>
      <c r="M2" s="13"/>
      <c r="N2" s="10"/>
      <c r="O2" s="10"/>
      <c r="P2" s="10"/>
      <c r="Q2" s="10"/>
      <c r="R2" s="14"/>
      <c r="S2" s="14"/>
      <c r="T2" s="14"/>
      <c r="U2" s="14"/>
      <c r="V2" s="15"/>
    </row>
    <row r="3" spans="1:22" s="4" customFormat="1">
      <c r="A3" s="20">
        <v>386</v>
      </c>
      <c r="B3" s="6" t="s">
        <v>1228</v>
      </c>
      <c r="C3" s="6" t="s">
        <v>1229</v>
      </c>
      <c r="D3" s="6"/>
      <c r="E3" s="6" t="s">
        <v>40</v>
      </c>
      <c r="F3" s="33">
        <v>15680</v>
      </c>
      <c r="G3" s="21">
        <f t="shared" ref="G3:G10" si="0">YEAR(F3)</f>
        <v>1942</v>
      </c>
      <c r="H3" s="22">
        <f t="shared" ref="H3:H66" si="1">2026-G3</f>
        <v>84</v>
      </c>
      <c r="I3" s="23"/>
      <c r="J3" s="20" t="s">
        <v>27</v>
      </c>
      <c r="K3" s="6" t="s">
        <v>1230</v>
      </c>
      <c r="L3" s="25"/>
      <c r="M3" s="25" t="s">
        <v>1231</v>
      </c>
      <c r="N3" s="6"/>
      <c r="O3" s="6"/>
      <c r="P3" s="6"/>
      <c r="Q3" s="6"/>
      <c r="R3" s="26"/>
      <c r="S3" s="26"/>
      <c r="T3" s="26"/>
      <c r="U3" s="26"/>
      <c r="V3" s="6" t="s">
        <v>1232</v>
      </c>
    </row>
    <row r="4" spans="1:22" s="4" customFormat="1">
      <c r="A4" s="17">
        <v>387</v>
      </c>
      <c r="B4" s="6" t="s">
        <v>1228</v>
      </c>
      <c r="C4" s="6" t="s">
        <v>1233</v>
      </c>
      <c r="D4" s="6"/>
      <c r="E4" s="6" t="s">
        <v>40</v>
      </c>
      <c r="F4" s="33" t="s">
        <v>1234</v>
      </c>
      <c r="G4" s="21" t="str">
        <f>RIGHT(F4,4)</f>
        <v>1936</v>
      </c>
      <c r="H4" s="22">
        <f t="shared" si="1"/>
        <v>90</v>
      </c>
      <c r="I4" s="23"/>
      <c r="J4" s="20" t="s">
        <v>27</v>
      </c>
      <c r="K4" s="6" t="s">
        <v>1230</v>
      </c>
      <c r="L4" s="25"/>
      <c r="M4" s="25" t="s">
        <v>1235</v>
      </c>
      <c r="N4" s="6"/>
      <c r="O4" s="6" t="s">
        <v>504</v>
      </c>
      <c r="P4" s="6">
        <v>140</v>
      </c>
      <c r="Q4" s="6">
        <v>40</v>
      </c>
      <c r="R4" s="26">
        <v>80</v>
      </c>
      <c r="S4" s="26"/>
      <c r="T4" s="26"/>
      <c r="U4" s="26"/>
      <c r="V4" s="6" t="s">
        <v>1236</v>
      </c>
    </row>
    <row r="5" spans="1:22" s="4" customFormat="1" hidden="1">
      <c r="A5" s="20">
        <v>388</v>
      </c>
      <c r="B5" s="6" t="s">
        <v>1228</v>
      </c>
      <c r="C5" s="6" t="s">
        <v>1237</v>
      </c>
      <c r="D5" s="6"/>
      <c r="E5" s="6" t="s">
        <v>2374</v>
      </c>
      <c r="F5" s="33" t="s">
        <v>1238</v>
      </c>
      <c r="G5" s="21" t="str">
        <f>RIGHT(F5,4)</f>
        <v>1970</v>
      </c>
      <c r="H5" s="22">
        <f t="shared" si="1"/>
        <v>56</v>
      </c>
      <c r="I5" s="23" t="s">
        <v>27</v>
      </c>
      <c r="J5" s="20"/>
      <c r="K5" s="6" t="s">
        <v>1230</v>
      </c>
      <c r="L5" s="25"/>
      <c r="M5" s="25" t="s">
        <v>1239</v>
      </c>
      <c r="N5" s="6"/>
      <c r="O5" s="6" t="s">
        <v>30</v>
      </c>
      <c r="P5" s="6">
        <v>160</v>
      </c>
      <c r="Q5" s="6">
        <v>48</v>
      </c>
      <c r="R5" s="26">
        <v>75</v>
      </c>
      <c r="S5" s="26"/>
      <c r="T5" s="26"/>
      <c r="U5" s="26"/>
      <c r="V5" s="6" t="s">
        <v>604</v>
      </c>
    </row>
    <row r="6" spans="1:22" s="4" customFormat="1">
      <c r="A6" s="17">
        <v>389</v>
      </c>
      <c r="B6" s="6" t="s">
        <v>1228</v>
      </c>
      <c r="C6" s="6" t="s">
        <v>1240</v>
      </c>
      <c r="D6" s="6"/>
      <c r="E6" s="6" t="s">
        <v>40</v>
      </c>
      <c r="F6" s="33">
        <v>13791</v>
      </c>
      <c r="G6" s="21">
        <f>YEAR(F6)</f>
        <v>1937</v>
      </c>
      <c r="H6" s="22">
        <f t="shared" si="1"/>
        <v>89</v>
      </c>
      <c r="I6" s="23"/>
      <c r="J6" s="20" t="s">
        <v>27</v>
      </c>
      <c r="K6" s="6" t="s">
        <v>1230</v>
      </c>
      <c r="L6" s="25"/>
      <c r="M6" s="25" t="s">
        <v>1241</v>
      </c>
      <c r="N6" s="6"/>
      <c r="O6" s="6"/>
      <c r="P6" s="6"/>
      <c r="Q6" s="6"/>
      <c r="R6" s="26"/>
      <c r="S6" s="26"/>
      <c r="T6" s="26"/>
      <c r="U6" s="26"/>
      <c r="V6" s="6" t="s">
        <v>1242</v>
      </c>
    </row>
    <row r="7" spans="1:22" s="4" customFormat="1" hidden="1">
      <c r="A7" s="20">
        <v>390</v>
      </c>
      <c r="B7" s="6" t="s">
        <v>1228</v>
      </c>
      <c r="C7" s="6" t="s">
        <v>1243</v>
      </c>
      <c r="D7" s="6"/>
      <c r="E7" s="6" t="s">
        <v>2374</v>
      </c>
      <c r="F7" s="33">
        <v>26665</v>
      </c>
      <c r="G7" s="21">
        <f>YEAR(F7)</f>
        <v>1973</v>
      </c>
      <c r="H7" s="22">
        <f t="shared" si="1"/>
        <v>53</v>
      </c>
      <c r="I7" s="23"/>
      <c r="J7" s="20" t="s">
        <v>27</v>
      </c>
      <c r="K7" s="6"/>
      <c r="L7" s="25"/>
      <c r="M7" s="25"/>
      <c r="N7" s="6"/>
      <c r="O7" s="6" t="s">
        <v>536</v>
      </c>
      <c r="P7" s="6"/>
      <c r="Q7" s="6"/>
      <c r="R7" s="26"/>
      <c r="S7" s="26"/>
      <c r="T7" s="26"/>
      <c r="U7" s="26"/>
      <c r="V7" s="6" t="s">
        <v>1244</v>
      </c>
    </row>
    <row r="8" spans="1:22" s="4" customFormat="1">
      <c r="A8" s="17">
        <v>391</v>
      </c>
      <c r="B8" s="6" t="s">
        <v>1228</v>
      </c>
      <c r="C8" s="6" t="s">
        <v>1245</v>
      </c>
      <c r="D8" s="6"/>
      <c r="E8" s="6" t="s">
        <v>40</v>
      </c>
      <c r="F8" s="33">
        <v>15685</v>
      </c>
      <c r="G8" s="21">
        <f>YEAR(F8)</f>
        <v>1942</v>
      </c>
      <c r="H8" s="22">
        <f t="shared" si="1"/>
        <v>84</v>
      </c>
      <c r="I8" s="23" t="s">
        <v>27</v>
      </c>
      <c r="J8" s="20"/>
      <c r="K8" s="6" t="s">
        <v>1230</v>
      </c>
      <c r="L8" s="25"/>
      <c r="M8" s="25" t="s">
        <v>1246</v>
      </c>
      <c r="N8" s="6"/>
      <c r="O8" s="6" t="s">
        <v>149</v>
      </c>
      <c r="P8" s="6">
        <v>140</v>
      </c>
      <c r="Q8" s="6">
        <v>39</v>
      </c>
      <c r="R8" s="26">
        <v>84</v>
      </c>
      <c r="S8" s="26"/>
      <c r="T8" s="26"/>
      <c r="U8" s="26"/>
      <c r="V8" s="6" t="s">
        <v>1247</v>
      </c>
    </row>
    <row r="9" spans="1:22" s="4" customFormat="1" hidden="1">
      <c r="A9" s="20">
        <v>392</v>
      </c>
      <c r="B9" s="6" t="s">
        <v>1228</v>
      </c>
      <c r="C9" s="6" t="s">
        <v>1248</v>
      </c>
      <c r="D9" s="6"/>
      <c r="E9" s="6" t="s">
        <v>2374</v>
      </c>
      <c r="F9" s="33">
        <v>26643</v>
      </c>
      <c r="G9" s="21">
        <f>YEAR(F9)</f>
        <v>1972</v>
      </c>
      <c r="H9" s="22">
        <f t="shared" si="1"/>
        <v>54</v>
      </c>
      <c r="I9" s="23" t="s">
        <v>27</v>
      </c>
      <c r="J9" s="20"/>
      <c r="K9" s="6" t="s">
        <v>1230</v>
      </c>
      <c r="L9" s="25"/>
      <c r="M9" s="25" t="s">
        <v>1249</v>
      </c>
      <c r="N9" s="6"/>
      <c r="O9" s="6" t="s">
        <v>60</v>
      </c>
      <c r="P9" s="6"/>
      <c r="Q9" s="6"/>
      <c r="R9" s="26"/>
      <c r="S9" s="26"/>
      <c r="T9" s="26"/>
      <c r="U9" s="26"/>
      <c r="V9" s="6" t="s">
        <v>1250</v>
      </c>
    </row>
    <row r="10" spans="1:22" s="4" customFormat="1" hidden="1">
      <c r="A10" s="17">
        <v>393</v>
      </c>
      <c r="B10" s="6" t="s">
        <v>1228</v>
      </c>
      <c r="C10" s="6" t="s">
        <v>1251</v>
      </c>
      <c r="D10" s="6"/>
      <c r="E10" s="6" t="s">
        <v>2374</v>
      </c>
      <c r="F10" s="33">
        <v>25605</v>
      </c>
      <c r="G10" s="21">
        <f>YEAR(F10)</f>
        <v>1970</v>
      </c>
      <c r="H10" s="22">
        <f t="shared" si="1"/>
        <v>56</v>
      </c>
      <c r="I10" s="23"/>
      <c r="J10" s="20" t="s">
        <v>27</v>
      </c>
      <c r="K10" s="6" t="s">
        <v>1230</v>
      </c>
      <c r="L10" s="25"/>
      <c r="M10" s="25" t="s">
        <v>1252</v>
      </c>
      <c r="N10" s="6"/>
      <c r="O10" s="6"/>
      <c r="P10" s="6"/>
      <c r="Q10" s="6"/>
      <c r="R10" s="26"/>
      <c r="S10" s="26"/>
      <c r="T10" s="26"/>
      <c r="U10" s="26"/>
      <c r="V10" s="6" t="s">
        <v>1253</v>
      </c>
    </row>
    <row r="11" spans="1:22" s="4" customFormat="1" hidden="1">
      <c r="A11" s="3"/>
      <c r="B11" s="4" t="s">
        <v>1228</v>
      </c>
      <c r="C11" s="4" t="s">
        <v>1917</v>
      </c>
      <c r="E11" s="65" t="s">
        <v>2376</v>
      </c>
      <c r="F11" s="4" t="s">
        <v>1918</v>
      </c>
      <c r="G11" s="21" t="str">
        <f t="shared" ref="G11:G12" si="2">RIGHT(F11,4)</f>
        <v>2012</v>
      </c>
      <c r="H11" s="4">
        <f t="shared" si="1"/>
        <v>14</v>
      </c>
      <c r="I11" s="3"/>
      <c r="J11" s="3" t="s">
        <v>27</v>
      </c>
      <c r="K11" s="4" t="s">
        <v>1919</v>
      </c>
      <c r="L11" s="5"/>
      <c r="M11" s="5" t="s">
        <v>1920</v>
      </c>
      <c r="P11" s="4">
        <v>150</v>
      </c>
      <c r="Q11" s="4">
        <v>37</v>
      </c>
      <c r="V11" s="6" t="s">
        <v>604</v>
      </c>
    </row>
    <row r="12" spans="1:22" s="4" customFormat="1" hidden="1">
      <c r="A12" s="3"/>
      <c r="B12" s="4" t="s">
        <v>1228</v>
      </c>
      <c r="C12" s="4" t="s">
        <v>1921</v>
      </c>
      <c r="E12" s="4" t="s">
        <v>609</v>
      </c>
      <c r="F12" s="4" t="s">
        <v>1922</v>
      </c>
      <c r="G12" s="21" t="str">
        <f t="shared" si="2"/>
        <v>2011</v>
      </c>
      <c r="H12" s="4">
        <f t="shared" si="1"/>
        <v>15</v>
      </c>
      <c r="I12" s="3"/>
      <c r="J12" s="3" t="s">
        <v>27</v>
      </c>
      <c r="K12" s="4" t="s">
        <v>1919</v>
      </c>
      <c r="L12" s="5"/>
      <c r="M12" s="5" t="s">
        <v>1923</v>
      </c>
      <c r="P12" s="4">
        <v>150</v>
      </c>
      <c r="Q12" s="4">
        <v>35</v>
      </c>
      <c r="V12" s="6" t="s">
        <v>1924</v>
      </c>
    </row>
    <row r="13" spans="1:22" s="4" customFormat="1" hidden="1">
      <c r="A13" s="3"/>
      <c r="B13" s="4" t="s">
        <v>1228</v>
      </c>
      <c r="C13" s="4" t="s">
        <v>1925</v>
      </c>
      <c r="E13" s="64" t="s">
        <v>2374</v>
      </c>
      <c r="F13" s="44">
        <v>26665</v>
      </c>
      <c r="G13" s="21">
        <f t="shared" ref="G13:G73" si="3">YEAR(F13)</f>
        <v>1973</v>
      </c>
      <c r="H13" s="4">
        <f t="shared" si="1"/>
        <v>53</v>
      </c>
      <c r="I13" s="3"/>
      <c r="J13" s="3" t="s">
        <v>27</v>
      </c>
      <c r="K13" s="4" t="s">
        <v>1230</v>
      </c>
      <c r="L13" s="5"/>
      <c r="M13" s="5" t="s">
        <v>1926</v>
      </c>
      <c r="O13" s="4" t="s">
        <v>634</v>
      </c>
      <c r="P13" s="4">
        <v>145</v>
      </c>
      <c r="Q13" s="4">
        <v>41</v>
      </c>
      <c r="R13" s="4">
        <v>80</v>
      </c>
      <c r="V13" s="6" t="s">
        <v>1927</v>
      </c>
    </row>
    <row r="14" spans="1:22" s="4" customFormat="1" hidden="1">
      <c r="A14" s="3"/>
      <c r="B14" s="4" t="s">
        <v>1228</v>
      </c>
      <c r="C14" s="4" t="s">
        <v>851</v>
      </c>
      <c r="E14" s="64" t="s">
        <v>2374</v>
      </c>
      <c r="F14" s="44">
        <v>25569</v>
      </c>
      <c r="G14" s="21">
        <f t="shared" si="3"/>
        <v>1970</v>
      </c>
      <c r="H14" s="4">
        <f t="shared" si="1"/>
        <v>56</v>
      </c>
      <c r="I14" s="3"/>
      <c r="J14" s="3" t="s">
        <v>27</v>
      </c>
      <c r="K14" s="4" t="s">
        <v>1230</v>
      </c>
      <c r="L14" s="5"/>
      <c r="M14" s="5" t="s">
        <v>1928</v>
      </c>
      <c r="O14" s="4" t="s">
        <v>930</v>
      </c>
      <c r="P14" s="4">
        <v>154</v>
      </c>
      <c r="Q14" s="4">
        <v>63</v>
      </c>
      <c r="R14" s="4">
        <v>80</v>
      </c>
      <c r="V14" s="6" t="s">
        <v>1929</v>
      </c>
    </row>
    <row r="15" spans="1:22" s="4" customFormat="1">
      <c r="A15" s="3"/>
      <c r="B15" s="4" t="s">
        <v>1228</v>
      </c>
      <c r="C15" s="4" t="s">
        <v>1930</v>
      </c>
      <c r="E15" s="4" t="s">
        <v>40</v>
      </c>
      <c r="F15" s="4" t="s">
        <v>1931</v>
      </c>
      <c r="G15" s="21" t="str">
        <f t="shared" ref="G15" si="4">RIGHT(F15,4)</f>
        <v>1947</v>
      </c>
      <c r="H15" s="4">
        <f t="shared" si="1"/>
        <v>79</v>
      </c>
      <c r="I15" s="3"/>
      <c r="J15" s="3" t="s">
        <v>27</v>
      </c>
      <c r="K15" s="4" t="s">
        <v>1932</v>
      </c>
      <c r="L15" s="5"/>
      <c r="M15" s="5" t="s">
        <v>1933</v>
      </c>
      <c r="O15" s="4" t="s">
        <v>149</v>
      </c>
      <c r="P15" s="4">
        <v>144</v>
      </c>
      <c r="Q15" s="4">
        <v>30</v>
      </c>
      <c r="R15" s="4">
        <v>79</v>
      </c>
      <c r="V15" s="6" t="s">
        <v>1934</v>
      </c>
    </row>
    <row r="16" spans="1:22" s="4" customFormat="1">
      <c r="A16" s="3"/>
      <c r="B16" s="4" t="s">
        <v>1228</v>
      </c>
      <c r="C16" s="4" t="s">
        <v>1935</v>
      </c>
      <c r="E16" s="4" t="s">
        <v>40</v>
      </c>
      <c r="F16" s="44">
        <v>23469</v>
      </c>
      <c r="G16" s="21">
        <f t="shared" si="3"/>
        <v>1964</v>
      </c>
      <c r="H16" s="4">
        <f t="shared" si="1"/>
        <v>62</v>
      </c>
      <c r="I16" s="3"/>
      <c r="J16" s="3" t="s">
        <v>27</v>
      </c>
      <c r="K16" s="4" t="s">
        <v>1932</v>
      </c>
      <c r="L16" s="5"/>
      <c r="M16" s="5" t="s">
        <v>1936</v>
      </c>
      <c r="O16" s="4" t="s">
        <v>1146</v>
      </c>
      <c r="P16" s="4">
        <v>150</v>
      </c>
      <c r="Q16" s="4">
        <v>45</v>
      </c>
      <c r="R16" s="4">
        <v>85</v>
      </c>
      <c r="V16" s="6" t="s">
        <v>1937</v>
      </c>
    </row>
    <row r="17" spans="1:22" s="4" customFormat="1" hidden="1">
      <c r="A17" s="3"/>
      <c r="B17" s="4" t="s">
        <v>1228</v>
      </c>
      <c r="C17" s="4" t="s">
        <v>1938</v>
      </c>
      <c r="E17" s="4" t="s">
        <v>261</v>
      </c>
      <c r="F17" s="44">
        <v>31817</v>
      </c>
      <c r="G17" s="21">
        <f t="shared" si="3"/>
        <v>1987</v>
      </c>
      <c r="H17" s="4">
        <f t="shared" si="1"/>
        <v>39</v>
      </c>
      <c r="I17" s="3"/>
      <c r="J17" s="3" t="s">
        <v>27</v>
      </c>
      <c r="K17" s="4" t="s">
        <v>1230</v>
      </c>
      <c r="L17" s="5"/>
      <c r="M17" s="5" t="s">
        <v>1939</v>
      </c>
      <c r="O17" s="4" t="s">
        <v>113</v>
      </c>
      <c r="P17" s="4">
        <v>156</v>
      </c>
      <c r="Q17" s="4">
        <v>68</v>
      </c>
      <c r="R17" s="4">
        <v>74</v>
      </c>
      <c r="V17" s="6" t="s">
        <v>1940</v>
      </c>
    </row>
    <row r="18" spans="1:22" s="4" customFormat="1">
      <c r="A18" s="3"/>
      <c r="B18" s="4" t="s">
        <v>1228</v>
      </c>
      <c r="C18" s="4" t="s">
        <v>1941</v>
      </c>
      <c r="E18" s="4" t="s">
        <v>40</v>
      </c>
      <c r="F18" s="4" t="s">
        <v>1942</v>
      </c>
      <c r="G18" s="21" t="str">
        <f t="shared" ref="G18" si="5">RIGHT(F18,4)</f>
        <v>1954</v>
      </c>
      <c r="H18" s="4">
        <f t="shared" si="1"/>
        <v>72</v>
      </c>
      <c r="I18" s="3"/>
      <c r="J18" s="3" t="s">
        <v>27</v>
      </c>
      <c r="K18" s="4" t="s">
        <v>1230</v>
      </c>
      <c r="L18" s="5"/>
      <c r="M18" s="5" t="s">
        <v>1943</v>
      </c>
      <c r="O18" s="4" t="s">
        <v>200</v>
      </c>
      <c r="P18" s="4">
        <v>147</v>
      </c>
      <c r="Q18" s="4">
        <v>66</v>
      </c>
      <c r="R18" s="4">
        <v>80</v>
      </c>
      <c r="V18" s="6" t="s">
        <v>1944</v>
      </c>
    </row>
    <row r="19" spans="1:22" s="4" customFormat="1">
      <c r="A19" s="3"/>
      <c r="B19" s="4" t="s">
        <v>1228</v>
      </c>
      <c r="C19" s="4" t="s">
        <v>1945</v>
      </c>
      <c r="E19" s="4" t="s">
        <v>40</v>
      </c>
      <c r="F19" s="44">
        <v>24443</v>
      </c>
      <c r="G19" s="21">
        <f t="shared" si="3"/>
        <v>1966</v>
      </c>
      <c r="H19" s="4">
        <f t="shared" si="1"/>
        <v>60</v>
      </c>
      <c r="I19" s="3"/>
      <c r="J19" s="3" t="s">
        <v>27</v>
      </c>
      <c r="K19" s="4" t="s">
        <v>1230</v>
      </c>
      <c r="L19" s="5"/>
      <c r="M19" s="5" t="s">
        <v>1946</v>
      </c>
      <c r="O19" s="4" t="s">
        <v>634</v>
      </c>
      <c r="P19" s="4">
        <v>140</v>
      </c>
      <c r="Q19" s="4">
        <v>35</v>
      </c>
      <c r="R19" s="4">
        <v>63</v>
      </c>
      <c r="V19" s="6" t="s">
        <v>1947</v>
      </c>
    </row>
    <row r="20" spans="1:22" s="4" customFormat="1">
      <c r="A20" s="3"/>
      <c r="B20" s="4" t="s">
        <v>1228</v>
      </c>
      <c r="C20" s="4" t="s">
        <v>98</v>
      </c>
      <c r="E20" s="4" t="s">
        <v>40</v>
      </c>
      <c r="F20" s="44">
        <v>24108</v>
      </c>
      <c r="G20" s="21">
        <f t="shared" si="3"/>
        <v>1966</v>
      </c>
      <c r="H20" s="4">
        <f t="shared" si="1"/>
        <v>60</v>
      </c>
      <c r="I20" s="3" t="s">
        <v>27</v>
      </c>
      <c r="J20" s="3"/>
      <c r="K20" s="4" t="s">
        <v>1230</v>
      </c>
      <c r="L20" s="5"/>
      <c r="M20" s="5" t="s">
        <v>1948</v>
      </c>
      <c r="O20" s="4" t="s">
        <v>113</v>
      </c>
      <c r="P20" s="4">
        <v>157</v>
      </c>
      <c r="Q20" s="4">
        <v>57</v>
      </c>
      <c r="R20" s="4">
        <v>80</v>
      </c>
      <c r="V20" s="6" t="s">
        <v>1949</v>
      </c>
    </row>
    <row r="21" spans="1:22" s="4" customFormat="1">
      <c r="A21" s="3"/>
      <c r="B21" s="4" t="s">
        <v>1228</v>
      </c>
      <c r="C21" s="4" t="s">
        <v>1950</v>
      </c>
      <c r="E21" s="4" t="s">
        <v>40</v>
      </c>
      <c r="F21" s="44">
        <v>23377</v>
      </c>
      <c r="G21" s="21">
        <f t="shared" si="3"/>
        <v>1964</v>
      </c>
      <c r="H21" s="4">
        <f t="shared" si="1"/>
        <v>62</v>
      </c>
      <c r="I21" s="3" t="s">
        <v>27</v>
      </c>
      <c r="J21" s="3"/>
      <c r="K21" s="4" t="s">
        <v>1230</v>
      </c>
      <c r="L21" s="5"/>
      <c r="M21" s="5" t="s">
        <v>1951</v>
      </c>
      <c r="O21" s="4" t="s">
        <v>34</v>
      </c>
      <c r="P21" s="4">
        <v>152</v>
      </c>
      <c r="Q21" s="4">
        <v>51.3</v>
      </c>
      <c r="R21" s="4">
        <v>80</v>
      </c>
      <c r="V21" s="6" t="s">
        <v>1952</v>
      </c>
    </row>
    <row r="22" spans="1:22" s="4" customFormat="1">
      <c r="A22" s="3"/>
      <c r="B22" s="4" t="s">
        <v>1228</v>
      </c>
      <c r="C22" s="4" t="s">
        <v>1953</v>
      </c>
      <c r="E22" s="4" t="s">
        <v>40</v>
      </c>
      <c r="F22" s="44">
        <v>17299</v>
      </c>
      <c r="G22" s="21">
        <f t="shared" si="3"/>
        <v>1947</v>
      </c>
      <c r="H22" s="4">
        <f t="shared" si="1"/>
        <v>79</v>
      </c>
      <c r="I22" s="3"/>
      <c r="J22" s="3" t="s">
        <v>27</v>
      </c>
      <c r="K22" s="4" t="s">
        <v>1230</v>
      </c>
      <c r="L22" s="5"/>
      <c r="M22" s="5" t="s">
        <v>1954</v>
      </c>
      <c r="O22" s="4" t="s">
        <v>263</v>
      </c>
      <c r="P22" s="4">
        <v>145</v>
      </c>
      <c r="Q22" s="4">
        <v>43</v>
      </c>
      <c r="R22" s="4">
        <v>83</v>
      </c>
      <c r="V22" s="6" t="s">
        <v>1955</v>
      </c>
    </row>
    <row r="23" spans="1:22" s="4" customFormat="1">
      <c r="A23" s="3"/>
      <c r="B23" s="4" t="s">
        <v>1228</v>
      </c>
      <c r="C23" s="4" t="s">
        <v>1501</v>
      </c>
      <c r="E23" s="4" t="s">
        <v>40</v>
      </c>
      <c r="F23" s="44">
        <v>16803</v>
      </c>
      <c r="G23" s="21">
        <f t="shared" si="3"/>
        <v>1946</v>
      </c>
      <c r="H23" s="4">
        <f t="shared" si="1"/>
        <v>80</v>
      </c>
      <c r="I23" s="3"/>
      <c r="J23" s="3" t="s">
        <v>27</v>
      </c>
      <c r="K23" s="4" t="s">
        <v>1230</v>
      </c>
      <c r="L23" s="5"/>
      <c r="M23" s="5" t="s">
        <v>1956</v>
      </c>
      <c r="O23" s="4" t="s">
        <v>113</v>
      </c>
      <c r="P23" s="4">
        <v>148</v>
      </c>
      <c r="Q23" s="4">
        <v>47.6</v>
      </c>
      <c r="R23" s="4">
        <v>85</v>
      </c>
      <c r="V23" s="6" t="s">
        <v>1957</v>
      </c>
    </row>
    <row r="24" spans="1:22" s="4" customFormat="1">
      <c r="A24" s="3"/>
      <c r="B24" s="4" t="s">
        <v>1228</v>
      </c>
      <c r="C24" s="4" t="s">
        <v>1958</v>
      </c>
      <c r="E24" s="4" t="s">
        <v>40</v>
      </c>
      <c r="F24" s="44">
        <v>20821</v>
      </c>
      <c r="G24" s="21">
        <f t="shared" si="3"/>
        <v>1957</v>
      </c>
      <c r="H24" s="4">
        <f t="shared" si="1"/>
        <v>69</v>
      </c>
      <c r="I24" s="3"/>
      <c r="J24" s="3" t="s">
        <v>27</v>
      </c>
      <c r="K24" s="4" t="s">
        <v>1230</v>
      </c>
      <c r="L24" s="5"/>
      <c r="M24" s="5" t="s">
        <v>1959</v>
      </c>
      <c r="O24" s="4" t="s">
        <v>113</v>
      </c>
      <c r="P24" s="4">
        <v>148</v>
      </c>
      <c r="Q24" s="4">
        <v>39.299999999999997</v>
      </c>
      <c r="R24" s="4">
        <v>80</v>
      </c>
      <c r="V24" s="6" t="s">
        <v>1960</v>
      </c>
    </row>
    <row r="25" spans="1:22" s="4" customFormat="1" hidden="1">
      <c r="A25" s="3"/>
      <c r="B25" s="4" t="s">
        <v>1228</v>
      </c>
      <c r="C25" s="4" t="s">
        <v>488</v>
      </c>
      <c r="E25" s="4" t="s">
        <v>261</v>
      </c>
      <c r="F25" s="44">
        <v>19786</v>
      </c>
      <c r="G25" s="21">
        <f t="shared" si="3"/>
        <v>1954</v>
      </c>
      <c r="H25" s="4">
        <f t="shared" si="1"/>
        <v>72</v>
      </c>
      <c r="I25" s="3"/>
      <c r="J25" s="3" t="s">
        <v>27</v>
      </c>
      <c r="K25" s="4" t="s">
        <v>1919</v>
      </c>
      <c r="L25" s="5"/>
      <c r="M25" s="5" t="s">
        <v>1961</v>
      </c>
      <c r="O25" s="4" t="s">
        <v>78</v>
      </c>
      <c r="P25" s="4">
        <v>140</v>
      </c>
      <c r="Q25" s="4">
        <v>47</v>
      </c>
      <c r="R25" s="4">
        <v>83</v>
      </c>
      <c r="V25" s="6" t="s">
        <v>1962</v>
      </c>
    </row>
    <row r="26" spans="1:22" s="4" customFormat="1">
      <c r="A26" s="3"/>
      <c r="B26" s="4" t="s">
        <v>1228</v>
      </c>
      <c r="C26" s="4" t="s">
        <v>1963</v>
      </c>
      <c r="E26" s="4" t="s">
        <v>40</v>
      </c>
      <c r="F26" s="44">
        <v>23682</v>
      </c>
      <c r="G26" s="21">
        <f t="shared" si="3"/>
        <v>1964</v>
      </c>
      <c r="H26" s="4">
        <f t="shared" si="1"/>
        <v>62</v>
      </c>
      <c r="I26" s="3" t="s">
        <v>27</v>
      </c>
      <c r="J26" s="3"/>
      <c r="K26" s="4" t="s">
        <v>1919</v>
      </c>
      <c r="L26" s="5"/>
      <c r="M26" s="5" t="s">
        <v>1964</v>
      </c>
      <c r="O26" s="4" t="s">
        <v>1965</v>
      </c>
      <c r="P26" s="4">
        <v>165</v>
      </c>
      <c r="Q26" s="4">
        <v>70</v>
      </c>
      <c r="R26" s="4">
        <v>90</v>
      </c>
      <c r="V26" s="6" t="s">
        <v>1966</v>
      </c>
    </row>
    <row r="27" spans="1:22" s="4" customFormat="1">
      <c r="A27" s="3"/>
      <c r="B27" s="4" t="s">
        <v>1228</v>
      </c>
      <c r="C27" s="4" t="s">
        <v>1967</v>
      </c>
      <c r="E27" s="4" t="s">
        <v>40</v>
      </c>
      <c r="F27" s="44">
        <v>22679</v>
      </c>
      <c r="G27" s="21">
        <f t="shared" si="3"/>
        <v>1962</v>
      </c>
      <c r="H27" s="4">
        <f t="shared" si="1"/>
        <v>64</v>
      </c>
      <c r="I27" s="3" t="s">
        <v>27</v>
      </c>
      <c r="J27" s="3"/>
      <c r="K27" s="4" t="s">
        <v>1919</v>
      </c>
      <c r="L27" s="5"/>
      <c r="M27" s="5" t="s">
        <v>1968</v>
      </c>
      <c r="O27" s="4" t="s">
        <v>146</v>
      </c>
      <c r="P27" s="4">
        <v>170</v>
      </c>
      <c r="Q27" s="4">
        <v>56</v>
      </c>
      <c r="R27" s="4">
        <v>65</v>
      </c>
      <c r="V27" s="6" t="s">
        <v>1969</v>
      </c>
    </row>
    <row r="28" spans="1:22" s="4" customFormat="1" hidden="1">
      <c r="A28" s="3"/>
      <c r="B28" s="4" t="s">
        <v>1228</v>
      </c>
      <c r="C28" s="4" t="s">
        <v>1970</v>
      </c>
      <c r="E28" s="64" t="s">
        <v>2374</v>
      </c>
      <c r="F28" s="44">
        <v>26155</v>
      </c>
      <c r="G28" s="21">
        <f t="shared" si="3"/>
        <v>1971</v>
      </c>
      <c r="H28" s="4">
        <f t="shared" si="1"/>
        <v>55</v>
      </c>
      <c r="I28" s="3" t="s">
        <v>27</v>
      </c>
      <c r="J28" s="3"/>
      <c r="K28" s="4" t="s">
        <v>1932</v>
      </c>
      <c r="L28" s="5"/>
      <c r="M28" s="5" t="s">
        <v>1971</v>
      </c>
      <c r="O28" s="4" t="s">
        <v>34</v>
      </c>
      <c r="P28" s="4">
        <v>155</v>
      </c>
      <c r="Q28" s="4">
        <v>61</v>
      </c>
      <c r="R28" s="4">
        <v>70</v>
      </c>
      <c r="V28" s="6" t="s">
        <v>1972</v>
      </c>
    </row>
    <row r="29" spans="1:22" s="4" customFormat="1">
      <c r="A29" s="3"/>
      <c r="B29" s="4" t="s">
        <v>1228</v>
      </c>
      <c r="C29" s="4" t="s">
        <v>1973</v>
      </c>
      <c r="E29" s="4" t="s">
        <v>40</v>
      </c>
      <c r="F29" s="44">
        <v>20090</v>
      </c>
      <c r="G29" s="21">
        <f t="shared" si="3"/>
        <v>1955</v>
      </c>
      <c r="H29" s="4">
        <f t="shared" si="1"/>
        <v>71</v>
      </c>
      <c r="I29" s="3"/>
      <c r="J29" s="3" t="s">
        <v>27</v>
      </c>
      <c r="K29" s="4" t="s">
        <v>1919</v>
      </c>
      <c r="L29" s="5"/>
      <c r="M29" s="5" t="s">
        <v>1974</v>
      </c>
      <c r="O29" s="4" t="s">
        <v>1975</v>
      </c>
      <c r="P29" s="4">
        <v>151</v>
      </c>
      <c r="Q29" s="4">
        <v>45</v>
      </c>
      <c r="R29" s="4">
        <v>85</v>
      </c>
      <c r="V29" s="6" t="s">
        <v>1976</v>
      </c>
    </row>
    <row r="30" spans="1:22" s="4" customFormat="1">
      <c r="A30" s="3"/>
      <c r="B30" s="4" t="s">
        <v>1228</v>
      </c>
      <c r="C30" s="4" t="s">
        <v>1977</v>
      </c>
      <c r="E30" s="64" t="s">
        <v>40</v>
      </c>
      <c r="F30" s="44">
        <v>21551</v>
      </c>
      <c r="G30" s="21">
        <f t="shared" si="3"/>
        <v>1959</v>
      </c>
      <c r="H30" s="4">
        <f t="shared" si="1"/>
        <v>67</v>
      </c>
      <c r="I30" s="3" t="s">
        <v>27</v>
      </c>
      <c r="J30" s="3"/>
      <c r="K30" s="4" t="s">
        <v>1919</v>
      </c>
      <c r="L30" s="5"/>
      <c r="M30" s="5" t="s">
        <v>1978</v>
      </c>
      <c r="O30" s="4" t="s">
        <v>1979</v>
      </c>
      <c r="P30" s="4">
        <v>159</v>
      </c>
      <c r="Q30" s="4">
        <v>64</v>
      </c>
      <c r="R30" s="4">
        <v>95</v>
      </c>
      <c r="V30" s="6" t="s">
        <v>1980</v>
      </c>
    </row>
    <row r="31" spans="1:22" s="4" customFormat="1">
      <c r="A31" s="3"/>
      <c r="B31" s="4" t="s">
        <v>1228</v>
      </c>
      <c r="C31" s="4" t="s">
        <v>1981</v>
      </c>
      <c r="E31" s="64" t="s">
        <v>40</v>
      </c>
      <c r="F31" s="44">
        <v>14895</v>
      </c>
      <c r="G31" s="21">
        <f t="shared" si="3"/>
        <v>1940</v>
      </c>
      <c r="H31" s="4">
        <f t="shared" si="1"/>
        <v>86</v>
      </c>
      <c r="I31" s="3" t="s">
        <v>27</v>
      </c>
      <c r="J31" s="3"/>
      <c r="K31" s="4" t="s">
        <v>1919</v>
      </c>
      <c r="L31" s="5"/>
      <c r="M31" s="5" t="s">
        <v>1982</v>
      </c>
      <c r="O31" s="4" t="s">
        <v>1983</v>
      </c>
      <c r="P31" s="4">
        <v>156</v>
      </c>
      <c r="Q31" s="4">
        <v>50</v>
      </c>
      <c r="R31" s="4">
        <v>90</v>
      </c>
      <c r="V31" s="6" t="s">
        <v>1984</v>
      </c>
    </row>
    <row r="32" spans="1:22" s="4" customFormat="1" hidden="1">
      <c r="A32" s="3"/>
      <c r="B32" s="4" t="s">
        <v>1228</v>
      </c>
      <c r="C32" s="4" t="s">
        <v>1985</v>
      </c>
      <c r="E32" s="4" t="s">
        <v>609</v>
      </c>
      <c r="F32" s="4" t="s">
        <v>1986</v>
      </c>
      <c r="G32" s="21" t="str">
        <f t="shared" ref="G32:G38" si="6">RIGHT(F32,4)</f>
        <v>1959</v>
      </c>
      <c r="H32" s="4">
        <f t="shared" si="1"/>
        <v>67</v>
      </c>
      <c r="I32" s="3"/>
      <c r="J32" s="3" t="s">
        <v>27</v>
      </c>
      <c r="K32" s="4" t="s">
        <v>1919</v>
      </c>
      <c r="L32" s="5"/>
      <c r="M32" s="5" t="s">
        <v>1987</v>
      </c>
      <c r="O32" s="4" t="s">
        <v>1988</v>
      </c>
      <c r="P32" s="4">
        <v>140</v>
      </c>
      <c r="Q32" s="4">
        <v>46</v>
      </c>
      <c r="R32" s="4">
        <v>74</v>
      </c>
      <c r="V32" s="6" t="s">
        <v>1989</v>
      </c>
    </row>
    <row r="33" spans="1:23" s="4" customFormat="1">
      <c r="A33" s="3"/>
      <c r="B33" s="4" t="s">
        <v>1228</v>
      </c>
      <c r="C33" s="4" t="s">
        <v>1990</v>
      </c>
      <c r="E33" s="4" t="s">
        <v>40</v>
      </c>
      <c r="F33" s="4" t="s">
        <v>1991</v>
      </c>
      <c r="G33" s="21" t="str">
        <f t="shared" si="6"/>
        <v>1964</v>
      </c>
      <c r="H33" s="4">
        <f t="shared" si="1"/>
        <v>62</v>
      </c>
      <c r="I33" s="3" t="s">
        <v>27</v>
      </c>
      <c r="J33" s="3"/>
      <c r="K33" s="4" t="s">
        <v>1919</v>
      </c>
      <c r="L33" s="5"/>
      <c r="M33" s="5" t="s">
        <v>1992</v>
      </c>
      <c r="O33" s="4" t="s">
        <v>104</v>
      </c>
      <c r="P33" s="4">
        <v>159</v>
      </c>
      <c r="Q33" s="4">
        <v>48</v>
      </c>
      <c r="R33" s="4">
        <v>82</v>
      </c>
      <c r="V33" s="6" t="s">
        <v>1993</v>
      </c>
    </row>
    <row r="34" spans="1:23" s="4" customFormat="1" hidden="1">
      <c r="A34" s="3"/>
      <c r="B34" s="4" t="s">
        <v>1228</v>
      </c>
      <c r="C34" s="4" t="s">
        <v>1994</v>
      </c>
      <c r="E34" s="64" t="s">
        <v>2374</v>
      </c>
      <c r="F34" s="4" t="s">
        <v>1995</v>
      </c>
      <c r="G34" s="21" t="str">
        <f t="shared" si="6"/>
        <v>2000</v>
      </c>
      <c r="H34" s="4">
        <f t="shared" si="1"/>
        <v>26</v>
      </c>
      <c r="I34" s="3" t="s">
        <v>27</v>
      </c>
      <c r="J34" s="3"/>
      <c r="K34" s="4" t="s">
        <v>1919</v>
      </c>
      <c r="L34" s="5"/>
      <c r="M34" s="5" t="s">
        <v>1996</v>
      </c>
      <c r="O34" s="4" t="s">
        <v>504</v>
      </c>
      <c r="P34" s="4">
        <v>170</v>
      </c>
      <c r="Q34" s="4">
        <v>42</v>
      </c>
      <c r="R34" s="4">
        <v>80</v>
      </c>
      <c r="V34" s="6" t="s">
        <v>1997</v>
      </c>
    </row>
    <row r="35" spans="1:23" s="4" customFormat="1" hidden="1">
      <c r="A35" s="3"/>
      <c r="B35" s="4" t="s">
        <v>1228</v>
      </c>
      <c r="C35" s="4" t="s">
        <v>1998</v>
      </c>
      <c r="E35" s="64" t="s">
        <v>2374</v>
      </c>
      <c r="F35" s="4" t="s">
        <v>1999</v>
      </c>
      <c r="G35" s="21" t="str">
        <f t="shared" si="6"/>
        <v>1996</v>
      </c>
      <c r="H35" s="4">
        <f t="shared" si="1"/>
        <v>30</v>
      </c>
      <c r="I35" s="3"/>
      <c r="J35" s="3" t="s">
        <v>27</v>
      </c>
      <c r="K35" s="4" t="s">
        <v>1919</v>
      </c>
      <c r="L35" s="5"/>
      <c r="M35" s="5" t="s">
        <v>2000</v>
      </c>
      <c r="O35" s="4" t="s">
        <v>2001</v>
      </c>
      <c r="P35" s="4">
        <v>164</v>
      </c>
      <c r="Q35" s="4">
        <v>49</v>
      </c>
      <c r="R35" s="4">
        <v>95</v>
      </c>
      <c r="V35" s="6" t="s">
        <v>2002</v>
      </c>
    </row>
    <row r="36" spans="1:23" s="4" customFormat="1" hidden="1">
      <c r="A36" s="3"/>
      <c r="B36" s="4" t="s">
        <v>1228</v>
      </c>
      <c r="C36" s="4" t="s">
        <v>2003</v>
      </c>
      <c r="E36" s="64" t="s">
        <v>2374</v>
      </c>
      <c r="F36" s="4" t="s">
        <v>2004</v>
      </c>
      <c r="G36" s="21" t="str">
        <f t="shared" si="6"/>
        <v>2004</v>
      </c>
      <c r="H36" s="4">
        <f t="shared" si="1"/>
        <v>22</v>
      </c>
      <c r="I36" s="3"/>
      <c r="J36" s="3" t="s">
        <v>27</v>
      </c>
      <c r="K36" s="4" t="s">
        <v>1919</v>
      </c>
      <c r="L36" s="5"/>
      <c r="M36" s="5" t="s">
        <v>2005</v>
      </c>
      <c r="O36" s="4" t="s">
        <v>113</v>
      </c>
      <c r="P36" s="4">
        <v>160</v>
      </c>
      <c r="Q36" s="4">
        <v>52</v>
      </c>
      <c r="R36" s="4">
        <v>80</v>
      </c>
      <c r="V36" s="6" t="s">
        <v>2006</v>
      </c>
    </row>
    <row r="37" spans="1:23" s="4" customFormat="1" hidden="1">
      <c r="A37" s="3"/>
      <c r="B37" s="4" t="s">
        <v>1228</v>
      </c>
      <c r="C37" s="4" t="s">
        <v>2007</v>
      </c>
      <c r="E37" s="64" t="s">
        <v>2374</v>
      </c>
      <c r="F37" s="4" t="s">
        <v>2008</v>
      </c>
      <c r="G37" s="21" t="str">
        <f t="shared" si="6"/>
        <v>2004</v>
      </c>
      <c r="H37" s="4">
        <f t="shared" si="1"/>
        <v>22</v>
      </c>
      <c r="I37" s="3"/>
      <c r="J37" s="3" t="s">
        <v>27</v>
      </c>
      <c r="K37" s="4" t="s">
        <v>1919</v>
      </c>
      <c r="L37" s="5"/>
      <c r="M37" s="5" t="s">
        <v>2009</v>
      </c>
      <c r="O37" s="4" t="s">
        <v>2010</v>
      </c>
      <c r="P37" s="4">
        <v>165</v>
      </c>
      <c r="Q37" s="4">
        <v>95</v>
      </c>
      <c r="R37" s="4">
        <v>80</v>
      </c>
      <c r="V37" s="6" t="s">
        <v>2011</v>
      </c>
    </row>
    <row r="38" spans="1:23" s="4" customFormat="1" hidden="1">
      <c r="A38" s="3"/>
      <c r="B38" s="4" t="s">
        <v>1228</v>
      </c>
      <c r="C38" s="4" t="s">
        <v>2012</v>
      </c>
      <c r="E38" s="64" t="s">
        <v>2374</v>
      </c>
      <c r="F38" s="4" t="s">
        <v>2013</v>
      </c>
      <c r="G38" s="21" t="str">
        <f t="shared" si="6"/>
        <v>2004</v>
      </c>
      <c r="H38" s="4">
        <f t="shared" si="1"/>
        <v>22</v>
      </c>
      <c r="I38" s="3" t="s">
        <v>27</v>
      </c>
      <c r="J38" s="3"/>
      <c r="K38" s="4" t="s">
        <v>1919</v>
      </c>
      <c r="L38" s="5"/>
      <c r="M38" s="5" t="s">
        <v>2014</v>
      </c>
      <c r="O38" s="4" t="s">
        <v>2015</v>
      </c>
      <c r="P38" s="4">
        <v>152</v>
      </c>
      <c r="Q38" s="4">
        <v>46</v>
      </c>
      <c r="R38" s="4">
        <v>80</v>
      </c>
      <c r="V38" s="6" t="s">
        <v>2016</v>
      </c>
    </row>
    <row r="39" spans="1:23" s="4" customFormat="1" hidden="1">
      <c r="A39" s="3"/>
      <c r="B39" s="4" t="s">
        <v>1228</v>
      </c>
      <c r="C39" s="4" t="s">
        <v>2017</v>
      </c>
      <c r="E39" s="64" t="s">
        <v>2374</v>
      </c>
      <c r="F39" s="44">
        <v>35491</v>
      </c>
      <c r="G39" s="21">
        <f t="shared" ref="G39:G102" si="7">YEAR(F39)</f>
        <v>1997</v>
      </c>
      <c r="H39" s="4">
        <f t="shared" si="1"/>
        <v>29</v>
      </c>
      <c r="I39" s="3"/>
      <c r="J39" s="3" t="s">
        <v>27</v>
      </c>
      <c r="K39" s="4" t="s">
        <v>1919</v>
      </c>
      <c r="L39" s="5"/>
      <c r="M39" s="5" t="s">
        <v>2018</v>
      </c>
      <c r="O39" s="4" t="s">
        <v>504</v>
      </c>
      <c r="P39" s="4">
        <v>148</v>
      </c>
      <c r="Q39" s="4">
        <v>41</v>
      </c>
      <c r="R39" s="4">
        <v>80</v>
      </c>
      <c r="V39" s="6" t="s">
        <v>2019</v>
      </c>
    </row>
    <row r="40" spans="1:23" s="4" customFormat="1">
      <c r="A40" s="3"/>
      <c r="B40" s="4" t="s">
        <v>1228</v>
      </c>
      <c r="C40" s="4" t="s">
        <v>2020</v>
      </c>
      <c r="E40" s="64" t="s">
        <v>40</v>
      </c>
      <c r="F40" s="44">
        <v>19819</v>
      </c>
      <c r="G40" s="21">
        <f t="shared" si="7"/>
        <v>1954</v>
      </c>
      <c r="H40" s="4">
        <f t="shared" si="1"/>
        <v>72</v>
      </c>
      <c r="I40" s="3"/>
      <c r="J40" s="3" t="s">
        <v>27</v>
      </c>
      <c r="K40" s="4" t="s">
        <v>1919</v>
      </c>
      <c r="L40" s="5"/>
      <c r="M40" s="5" t="s">
        <v>2021</v>
      </c>
      <c r="O40" s="4" t="s">
        <v>370</v>
      </c>
      <c r="P40" s="4">
        <v>154</v>
      </c>
      <c r="Q40" s="4">
        <v>64</v>
      </c>
      <c r="R40" s="4">
        <v>77</v>
      </c>
      <c r="V40" s="6" t="s">
        <v>2022</v>
      </c>
      <c r="W40" s="4" t="s">
        <v>2023</v>
      </c>
    </row>
    <row r="41" spans="1:23" s="4" customFormat="1">
      <c r="A41" s="3"/>
      <c r="B41" s="4" t="s">
        <v>1228</v>
      </c>
      <c r="C41" s="4" t="s">
        <v>2024</v>
      </c>
      <c r="E41" s="64" t="s">
        <v>40</v>
      </c>
      <c r="F41" s="44">
        <v>19277</v>
      </c>
      <c r="G41" s="21">
        <f t="shared" si="7"/>
        <v>1952</v>
      </c>
      <c r="H41" s="4">
        <f t="shared" si="1"/>
        <v>74</v>
      </c>
      <c r="I41" s="3" t="s">
        <v>27</v>
      </c>
      <c r="J41" s="3"/>
      <c r="K41" s="4" t="s">
        <v>1919</v>
      </c>
      <c r="L41" s="5"/>
      <c r="M41" s="5" t="s">
        <v>2025</v>
      </c>
      <c r="O41" s="4" t="s">
        <v>2026</v>
      </c>
      <c r="P41" s="4">
        <v>157</v>
      </c>
      <c r="Q41" s="4">
        <v>59</v>
      </c>
      <c r="R41" s="4">
        <v>89</v>
      </c>
      <c r="V41" s="6" t="s">
        <v>2027</v>
      </c>
    </row>
    <row r="42" spans="1:23" s="4" customFormat="1">
      <c r="A42" s="3"/>
      <c r="B42" s="4" t="s">
        <v>1228</v>
      </c>
      <c r="C42" s="4" t="s">
        <v>2028</v>
      </c>
      <c r="E42" s="4" t="s">
        <v>40</v>
      </c>
      <c r="F42" s="4" t="s">
        <v>2029</v>
      </c>
      <c r="G42" s="21" t="str">
        <f t="shared" ref="G42:G45" si="8">RIGHT(F42,4)</f>
        <v>1964</v>
      </c>
      <c r="H42" s="4">
        <f t="shared" si="1"/>
        <v>62</v>
      </c>
      <c r="I42" s="3"/>
      <c r="J42" s="3" t="s">
        <v>27</v>
      </c>
      <c r="K42" s="4" t="s">
        <v>1932</v>
      </c>
      <c r="L42" s="5"/>
      <c r="M42" s="5" t="s">
        <v>2030</v>
      </c>
      <c r="O42" s="4" t="s">
        <v>389</v>
      </c>
      <c r="P42" s="4">
        <v>145</v>
      </c>
      <c r="Q42" s="4">
        <v>50</v>
      </c>
      <c r="R42" s="4">
        <v>80</v>
      </c>
      <c r="V42" s="6" t="s">
        <v>2031</v>
      </c>
    </row>
    <row r="43" spans="1:23" s="4" customFormat="1">
      <c r="A43" s="3"/>
      <c r="B43" s="4" t="s">
        <v>1228</v>
      </c>
      <c r="C43" s="4" t="s">
        <v>2032</v>
      </c>
      <c r="E43" s="64" t="s">
        <v>40</v>
      </c>
      <c r="F43" s="44">
        <v>18994</v>
      </c>
      <c r="G43" s="21">
        <f t="shared" si="7"/>
        <v>1952</v>
      </c>
      <c r="H43" s="4">
        <f t="shared" si="1"/>
        <v>74</v>
      </c>
      <c r="I43" s="3" t="s">
        <v>27</v>
      </c>
      <c r="J43" s="3"/>
      <c r="K43" s="4" t="s">
        <v>1932</v>
      </c>
      <c r="L43" s="5"/>
      <c r="M43" s="5" t="s">
        <v>2033</v>
      </c>
      <c r="O43" s="4" t="s">
        <v>149</v>
      </c>
      <c r="P43" s="4">
        <v>147</v>
      </c>
      <c r="Q43" s="4">
        <v>52</v>
      </c>
      <c r="R43" s="4">
        <v>70</v>
      </c>
      <c r="V43" s="6" t="s">
        <v>2034</v>
      </c>
    </row>
    <row r="44" spans="1:23" s="4" customFormat="1">
      <c r="A44" s="3"/>
      <c r="B44" s="4" t="s">
        <v>1228</v>
      </c>
      <c r="C44" s="4" t="s">
        <v>2035</v>
      </c>
      <c r="E44" s="64" t="s">
        <v>40</v>
      </c>
      <c r="F44" s="4" t="s">
        <v>2036</v>
      </c>
      <c r="G44" s="21" t="str">
        <f t="shared" si="8"/>
        <v>1942</v>
      </c>
      <c r="H44" s="4">
        <f t="shared" si="1"/>
        <v>84</v>
      </c>
      <c r="I44" s="3" t="s">
        <v>27</v>
      </c>
      <c r="J44" s="3"/>
      <c r="K44" s="4" t="s">
        <v>1919</v>
      </c>
      <c r="L44" s="5"/>
      <c r="M44" s="5" t="s">
        <v>2037</v>
      </c>
      <c r="O44" s="4" t="s">
        <v>280</v>
      </c>
      <c r="P44" s="4">
        <v>161</v>
      </c>
      <c r="Q44" s="4">
        <v>44</v>
      </c>
      <c r="R44" s="4">
        <v>70</v>
      </c>
      <c r="V44" s="6" t="s">
        <v>2038</v>
      </c>
    </row>
    <row r="45" spans="1:23" s="4" customFormat="1">
      <c r="A45" s="3"/>
      <c r="B45" s="4" t="s">
        <v>1228</v>
      </c>
      <c r="C45" s="4" t="s">
        <v>2039</v>
      </c>
      <c r="E45" s="64" t="s">
        <v>40</v>
      </c>
      <c r="F45" s="4" t="s">
        <v>2040</v>
      </c>
      <c r="G45" s="21" t="str">
        <f t="shared" si="8"/>
        <v>1962</v>
      </c>
      <c r="H45" s="4">
        <f t="shared" si="1"/>
        <v>64</v>
      </c>
      <c r="I45" s="3"/>
      <c r="J45" s="3" t="s">
        <v>27</v>
      </c>
      <c r="K45" s="4" t="s">
        <v>1919</v>
      </c>
      <c r="L45" s="5"/>
      <c r="M45" s="5" t="s">
        <v>2041</v>
      </c>
      <c r="O45" s="4" t="s">
        <v>2042</v>
      </c>
      <c r="P45" s="4">
        <v>144</v>
      </c>
      <c r="Q45" s="4">
        <v>39</v>
      </c>
      <c r="R45" s="4">
        <v>120</v>
      </c>
      <c r="V45" s="6" t="s">
        <v>2043</v>
      </c>
    </row>
    <row r="46" spans="1:23" s="4" customFormat="1">
      <c r="A46" s="3"/>
      <c r="B46" s="4" t="s">
        <v>1228</v>
      </c>
      <c r="C46" s="4" t="s">
        <v>2044</v>
      </c>
      <c r="E46" s="64" t="s">
        <v>40</v>
      </c>
      <c r="F46" s="44">
        <v>15707</v>
      </c>
      <c r="G46" s="21">
        <f t="shared" si="7"/>
        <v>1943</v>
      </c>
      <c r="H46" s="4">
        <f t="shared" si="1"/>
        <v>83</v>
      </c>
      <c r="I46" s="3"/>
      <c r="J46" s="3" t="s">
        <v>27</v>
      </c>
      <c r="K46" s="4" t="s">
        <v>1919</v>
      </c>
      <c r="L46" s="5"/>
      <c r="M46" s="5" t="s">
        <v>2045</v>
      </c>
      <c r="O46" s="4" t="s">
        <v>42</v>
      </c>
      <c r="P46" s="4">
        <v>144</v>
      </c>
      <c r="Q46" s="4">
        <v>39</v>
      </c>
      <c r="R46" s="4">
        <v>80</v>
      </c>
      <c r="V46" s="6" t="s">
        <v>2046</v>
      </c>
    </row>
    <row r="47" spans="1:23" s="4" customFormat="1">
      <c r="A47" s="3"/>
      <c r="B47" s="4" t="s">
        <v>1228</v>
      </c>
      <c r="C47" s="4" t="s">
        <v>2047</v>
      </c>
      <c r="E47" s="64" t="s">
        <v>40</v>
      </c>
      <c r="F47" s="44">
        <v>23743</v>
      </c>
      <c r="G47" s="21">
        <f t="shared" si="7"/>
        <v>1965</v>
      </c>
      <c r="H47" s="4">
        <f t="shared" si="1"/>
        <v>61</v>
      </c>
      <c r="I47" s="3" t="s">
        <v>27</v>
      </c>
      <c r="J47" s="3"/>
      <c r="K47" s="4" t="s">
        <v>1919</v>
      </c>
      <c r="L47" s="5"/>
      <c r="M47" s="5" t="s">
        <v>2048</v>
      </c>
      <c r="O47" s="4" t="s">
        <v>2049</v>
      </c>
      <c r="P47" s="4">
        <v>165</v>
      </c>
      <c r="Q47" s="4">
        <v>64</v>
      </c>
      <c r="R47" s="4">
        <v>79</v>
      </c>
      <c r="V47" s="6" t="s">
        <v>2050</v>
      </c>
    </row>
    <row r="48" spans="1:23" s="4" customFormat="1">
      <c r="A48" s="3"/>
      <c r="B48" s="4" t="s">
        <v>1228</v>
      </c>
      <c r="C48" s="4" t="s">
        <v>2051</v>
      </c>
      <c r="E48" s="64" t="s">
        <v>40</v>
      </c>
      <c r="F48" s="44">
        <v>18481</v>
      </c>
      <c r="G48" s="21">
        <f t="shared" si="7"/>
        <v>1950</v>
      </c>
      <c r="H48" s="4">
        <f t="shared" si="1"/>
        <v>76</v>
      </c>
      <c r="I48" s="3" t="s">
        <v>27</v>
      </c>
      <c r="J48" s="3"/>
      <c r="K48" s="4" t="s">
        <v>1919</v>
      </c>
      <c r="L48" s="5"/>
      <c r="M48" s="5" t="s">
        <v>2052</v>
      </c>
      <c r="O48" s="4" t="s">
        <v>263</v>
      </c>
      <c r="P48" s="4">
        <v>165</v>
      </c>
      <c r="Q48" s="4">
        <v>61</v>
      </c>
      <c r="R48" s="4">
        <v>80</v>
      </c>
      <c r="V48" s="6" t="s">
        <v>2053</v>
      </c>
    </row>
    <row r="49" spans="1:22" s="4" customFormat="1">
      <c r="A49" s="3"/>
      <c r="B49" s="4" t="s">
        <v>1228</v>
      </c>
      <c r="C49" s="4" t="s">
        <v>1203</v>
      </c>
      <c r="E49" s="64" t="s">
        <v>40</v>
      </c>
      <c r="F49" s="44">
        <v>22199</v>
      </c>
      <c r="G49" s="21">
        <f t="shared" si="7"/>
        <v>1960</v>
      </c>
      <c r="H49" s="4">
        <f t="shared" si="1"/>
        <v>66</v>
      </c>
      <c r="I49" s="3"/>
      <c r="J49" s="3" t="s">
        <v>27</v>
      </c>
      <c r="K49" s="4" t="s">
        <v>1230</v>
      </c>
      <c r="L49" s="5"/>
      <c r="M49" s="5" t="s">
        <v>2054</v>
      </c>
      <c r="O49" s="4" t="s">
        <v>263</v>
      </c>
      <c r="P49" s="4">
        <v>147</v>
      </c>
      <c r="Q49" s="4">
        <v>44</v>
      </c>
      <c r="R49" s="4">
        <v>62</v>
      </c>
      <c r="V49" s="6" t="s">
        <v>2055</v>
      </c>
    </row>
    <row r="50" spans="1:22" s="4" customFormat="1">
      <c r="A50" s="3"/>
      <c r="B50" s="4" t="s">
        <v>1228</v>
      </c>
      <c r="C50" s="4" t="s">
        <v>361</v>
      </c>
      <c r="E50" s="64" t="s">
        <v>40</v>
      </c>
      <c r="F50" s="44">
        <v>16408</v>
      </c>
      <c r="G50" s="21">
        <f t="shared" si="7"/>
        <v>1944</v>
      </c>
      <c r="H50" s="4">
        <f t="shared" si="1"/>
        <v>82</v>
      </c>
      <c r="I50" s="3"/>
      <c r="J50" s="3" t="s">
        <v>27</v>
      </c>
      <c r="K50" s="4" t="s">
        <v>1230</v>
      </c>
      <c r="L50" s="5"/>
      <c r="M50" s="5" t="s">
        <v>2056</v>
      </c>
      <c r="O50" s="4" t="s">
        <v>2057</v>
      </c>
      <c r="P50" s="4">
        <v>141</v>
      </c>
      <c r="Q50" s="4">
        <v>47</v>
      </c>
      <c r="R50" s="4">
        <v>105</v>
      </c>
      <c r="V50" s="6" t="s">
        <v>2058</v>
      </c>
    </row>
    <row r="51" spans="1:22" s="4" customFormat="1">
      <c r="A51" s="3"/>
      <c r="B51" s="4" t="s">
        <v>1228</v>
      </c>
      <c r="C51" s="4" t="s">
        <v>2059</v>
      </c>
      <c r="E51" s="64" t="s">
        <v>40</v>
      </c>
      <c r="F51" s="44">
        <v>22647</v>
      </c>
      <c r="G51" s="21">
        <f t="shared" si="7"/>
        <v>1962</v>
      </c>
      <c r="H51" s="4">
        <f t="shared" si="1"/>
        <v>64</v>
      </c>
      <c r="I51" s="3" t="s">
        <v>27</v>
      </c>
      <c r="J51" s="3"/>
      <c r="K51" s="4" t="s">
        <v>1230</v>
      </c>
      <c r="L51" s="5"/>
      <c r="M51" s="5" t="s">
        <v>2060</v>
      </c>
      <c r="O51" s="4" t="s">
        <v>284</v>
      </c>
      <c r="P51" s="4">
        <v>162</v>
      </c>
      <c r="Q51" s="4">
        <v>60.4</v>
      </c>
      <c r="R51" s="4">
        <v>80</v>
      </c>
      <c r="V51" s="6" t="s">
        <v>2061</v>
      </c>
    </row>
    <row r="52" spans="1:22" s="4" customFormat="1" hidden="1">
      <c r="A52" s="3"/>
      <c r="B52" s="4" t="s">
        <v>1228</v>
      </c>
      <c r="C52" s="4" t="s">
        <v>2062</v>
      </c>
      <c r="E52" s="64" t="s">
        <v>2374</v>
      </c>
      <c r="F52" s="44">
        <v>25236</v>
      </c>
      <c r="G52" s="21">
        <f t="shared" si="7"/>
        <v>1969</v>
      </c>
      <c r="H52" s="4">
        <f t="shared" si="1"/>
        <v>57</v>
      </c>
      <c r="I52" s="3"/>
      <c r="J52" s="3" t="s">
        <v>27</v>
      </c>
      <c r="K52" s="4" t="s">
        <v>1230</v>
      </c>
      <c r="L52" s="5"/>
      <c r="M52" s="5" t="s">
        <v>2063</v>
      </c>
      <c r="O52" s="4" t="s">
        <v>2064</v>
      </c>
      <c r="P52" s="4">
        <v>155</v>
      </c>
      <c r="Q52" s="4">
        <v>56.5</v>
      </c>
      <c r="R52" s="4">
        <v>80</v>
      </c>
      <c r="V52" s="6" t="s">
        <v>2065</v>
      </c>
    </row>
    <row r="53" spans="1:22" s="4" customFormat="1" hidden="1">
      <c r="A53" s="3"/>
      <c r="B53" s="4" t="s">
        <v>1228</v>
      </c>
      <c r="C53" s="4" t="s">
        <v>624</v>
      </c>
      <c r="E53" s="64" t="s">
        <v>2374</v>
      </c>
      <c r="F53" s="44">
        <v>25943</v>
      </c>
      <c r="G53" s="21">
        <f t="shared" si="7"/>
        <v>1971</v>
      </c>
      <c r="H53" s="4">
        <f t="shared" si="1"/>
        <v>55</v>
      </c>
      <c r="I53" s="3"/>
      <c r="J53" s="3" t="s">
        <v>27</v>
      </c>
      <c r="K53" s="4" t="s">
        <v>1230</v>
      </c>
      <c r="L53" s="5"/>
      <c r="M53" s="5" t="s">
        <v>2066</v>
      </c>
      <c r="O53" s="4" t="s">
        <v>2067</v>
      </c>
      <c r="P53" s="4">
        <v>145</v>
      </c>
      <c r="Q53" s="4">
        <v>51.5</v>
      </c>
      <c r="R53" s="4">
        <v>81</v>
      </c>
      <c r="V53" s="6" t="s">
        <v>2068</v>
      </c>
    </row>
    <row r="54" spans="1:22" s="4" customFormat="1" hidden="1">
      <c r="A54" s="3"/>
      <c r="B54" s="4" t="s">
        <v>1228</v>
      </c>
      <c r="C54" s="4" t="s">
        <v>708</v>
      </c>
      <c r="E54" s="64" t="s">
        <v>2374</v>
      </c>
      <c r="F54" s="4" t="s">
        <v>2069</v>
      </c>
      <c r="G54" s="21" t="str">
        <f>RIGHT(F54,4)</f>
        <v>1969</v>
      </c>
      <c r="H54" s="4">
        <f t="shared" si="1"/>
        <v>57</v>
      </c>
      <c r="I54" s="3" t="s">
        <v>27</v>
      </c>
      <c r="J54" s="3"/>
      <c r="K54" s="4" t="s">
        <v>1230</v>
      </c>
      <c r="L54" s="5"/>
      <c r="M54" s="5" t="s">
        <v>2070</v>
      </c>
      <c r="O54" s="4" t="s">
        <v>687</v>
      </c>
      <c r="P54" s="4">
        <v>160</v>
      </c>
      <c r="Q54" s="4">
        <v>54</v>
      </c>
      <c r="R54" s="4">
        <v>100</v>
      </c>
      <c r="V54" s="6" t="s">
        <v>2071</v>
      </c>
    </row>
    <row r="55" spans="1:22" s="4" customFormat="1">
      <c r="A55" s="3"/>
      <c r="B55" s="4" t="s">
        <v>1228</v>
      </c>
      <c r="C55" s="4" t="s">
        <v>2072</v>
      </c>
      <c r="E55" s="64" t="s">
        <v>40</v>
      </c>
      <c r="F55" s="44">
        <v>18994</v>
      </c>
      <c r="G55" s="21">
        <f t="shared" si="7"/>
        <v>1952</v>
      </c>
      <c r="H55" s="4">
        <f t="shared" si="1"/>
        <v>74</v>
      </c>
      <c r="I55" s="3"/>
      <c r="J55" s="3" t="s">
        <v>27</v>
      </c>
      <c r="K55" s="4" t="s">
        <v>1230</v>
      </c>
      <c r="L55" s="5"/>
      <c r="M55" s="5" t="s">
        <v>2073</v>
      </c>
      <c r="O55" s="4" t="s">
        <v>113</v>
      </c>
      <c r="P55" s="4">
        <v>139</v>
      </c>
      <c r="Q55" s="4">
        <v>28.5</v>
      </c>
      <c r="R55" s="4">
        <v>80</v>
      </c>
      <c r="V55" s="6" t="s">
        <v>2074</v>
      </c>
    </row>
    <row r="56" spans="1:22" s="4" customFormat="1" hidden="1">
      <c r="A56" s="3"/>
      <c r="B56" s="4" t="s">
        <v>1228</v>
      </c>
      <c r="C56" s="4" t="s">
        <v>2075</v>
      </c>
      <c r="E56" s="64" t="s">
        <v>2374</v>
      </c>
      <c r="F56" s="44">
        <v>25359</v>
      </c>
      <c r="G56" s="21">
        <f t="shared" si="7"/>
        <v>1969</v>
      </c>
      <c r="H56" s="4">
        <f t="shared" si="1"/>
        <v>57</v>
      </c>
      <c r="I56" s="3"/>
      <c r="J56" s="3" t="s">
        <v>27</v>
      </c>
      <c r="K56" s="4" t="s">
        <v>1230</v>
      </c>
      <c r="L56" s="5"/>
      <c r="M56" s="5" t="s">
        <v>2076</v>
      </c>
      <c r="O56" s="4" t="s">
        <v>60</v>
      </c>
      <c r="P56" s="4">
        <v>147</v>
      </c>
      <c r="Q56" s="4">
        <v>42</v>
      </c>
      <c r="R56" s="4">
        <v>66</v>
      </c>
      <c r="V56" s="6" t="s">
        <v>2077</v>
      </c>
    </row>
    <row r="57" spans="1:22" s="4" customFormat="1" hidden="1">
      <c r="A57" s="3"/>
      <c r="B57" s="4" t="s">
        <v>1228</v>
      </c>
      <c r="C57" s="4" t="s">
        <v>2078</v>
      </c>
      <c r="E57" s="64" t="s">
        <v>2374</v>
      </c>
      <c r="F57" s="44">
        <v>28339</v>
      </c>
      <c r="G57" s="21">
        <f t="shared" si="7"/>
        <v>1977</v>
      </c>
      <c r="H57" s="4">
        <f t="shared" si="1"/>
        <v>49</v>
      </c>
      <c r="I57" s="3"/>
      <c r="J57" s="3" t="s">
        <v>27</v>
      </c>
      <c r="K57" s="4" t="s">
        <v>1230</v>
      </c>
      <c r="L57" s="5"/>
      <c r="M57" s="5" t="s">
        <v>2079</v>
      </c>
      <c r="O57" s="4" t="s">
        <v>2080</v>
      </c>
      <c r="P57" s="4">
        <v>152</v>
      </c>
      <c r="Q57" s="4">
        <v>49</v>
      </c>
      <c r="R57" s="4">
        <v>91</v>
      </c>
      <c r="V57" s="6" t="s">
        <v>2081</v>
      </c>
    </row>
    <row r="58" spans="1:22" s="4" customFormat="1" hidden="1">
      <c r="A58" s="3"/>
      <c r="B58" s="4" t="s">
        <v>1228</v>
      </c>
      <c r="C58" s="4" t="s">
        <v>2082</v>
      </c>
      <c r="E58" s="64" t="s">
        <v>2374</v>
      </c>
      <c r="F58" s="44">
        <v>30020</v>
      </c>
      <c r="G58" s="21">
        <f t="shared" si="7"/>
        <v>1982</v>
      </c>
      <c r="H58" s="4">
        <f t="shared" si="1"/>
        <v>44</v>
      </c>
      <c r="I58" s="3" t="s">
        <v>27</v>
      </c>
      <c r="J58" s="3"/>
      <c r="K58" s="4" t="s">
        <v>1230</v>
      </c>
      <c r="L58" s="5"/>
      <c r="M58" s="5" t="s">
        <v>2083</v>
      </c>
      <c r="O58" s="4" t="s">
        <v>113</v>
      </c>
      <c r="P58" s="4">
        <v>174</v>
      </c>
      <c r="Q58" s="4">
        <v>59</v>
      </c>
      <c r="R58" s="4">
        <v>78</v>
      </c>
      <c r="V58" s="6" t="s">
        <v>2084</v>
      </c>
    </row>
    <row r="59" spans="1:22" s="4" customFormat="1">
      <c r="A59" s="3"/>
      <c r="B59" s="4" t="s">
        <v>1228</v>
      </c>
      <c r="C59" s="4" t="s">
        <v>2085</v>
      </c>
      <c r="E59" s="64" t="s">
        <v>40</v>
      </c>
      <c r="F59" s="44">
        <v>16803</v>
      </c>
      <c r="G59" s="21">
        <f t="shared" si="7"/>
        <v>1946</v>
      </c>
      <c r="H59" s="4">
        <f t="shared" si="1"/>
        <v>80</v>
      </c>
      <c r="I59" s="3"/>
      <c r="J59" s="3" t="s">
        <v>27</v>
      </c>
      <c r="K59" s="4" t="s">
        <v>1230</v>
      </c>
      <c r="L59" s="5"/>
      <c r="M59" s="5" t="s">
        <v>2086</v>
      </c>
      <c r="O59" s="4" t="s">
        <v>2087</v>
      </c>
      <c r="P59" s="4">
        <v>141</v>
      </c>
      <c r="Q59" s="4">
        <v>37.700000000000003</v>
      </c>
      <c r="R59" s="4">
        <v>72</v>
      </c>
      <c r="V59" s="6" t="s">
        <v>2088</v>
      </c>
    </row>
    <row r="60" spans="1:22" s="4" customFormat="1">
      <c r="A60" s="3"/>
      <c r="B60" s="4" t="s">
        <v>1228</v>
      </c>
      <c r="C60" s="4" t="s">
        <v>2089</v>
      </c>
      <c r="E60" s="64" t="s">
        <v>40</v>
      </c>
      <c r="F60" s="44">
        <v>20180</v>
      </c>
      <c r="G60" s="21">
        <f t="shared" si="7"/>
        <v>1955</v>
      </c>
      <c r="H60" s="4">
        <f t="shared" si="1"/>
        <v>71</v>
      </c>
      <c r="I60" s="3" t="s">
        <v>27</v>
      </c>
      <c r="J60" s="3"/>
      <c r="K60" s="4" t="s">
        <v>1230</v>
      </c>
      <c r="L60" s="5"/>
      <c r="M60" s="5" t="s">
        <v>2090</v>
      </c>
      <c r="O60" s="4" t="s">
        <v>724</v>
      </c>
      <c r="P60" s="4">
        <v>151</v>
      </c>
      <c r="Q60" s="4">
        <v>41</v>
      </c>
      <c r="R60" s="4">
        <v>78</v>
      </c>
      <c r="V60" s="6" t="s">
        <v>2091</v>
      </c>
    </row>
    <row r="61" spans="1:22" s="4" customFormat="1">
      <c r="A61" s="3"/>
      <c r="B61" s="4" t="s">
        <v>1228</v>
      </c>
      <c r="C61" s="4" t="s">
        <v>105</v>
      </c>
      <c r="E61" s="64" t="s">
        <v>40</v>
      </c>
      <c r="F61" s="44">
        <v>17899</v>
      </c>
      <c r="G61" s="21">
        <f t="shared" si="7"/>
        <v>1949</v>
      </c>
      <c r="H61" s="4">
        <f t="shared" si="1"/>
        <v>77</v>
      </c>
      <c r="I61" s="3"/>
      <c r="J61" s="3" t="s">
        <v>27</v>
      </c>
      <c r="K61" s="4" t="s">
        <v>1230</v>
      </c>
      <c r="L61" s="5"/>
      <c r="M61" s="5" t="s">
        <v>2092</v>
      </c>
      <c r="O61" s="4" t="s">
        <v>724</v>
      </c>
      <c r="P61" s="4">
        <v>145</v>
      </c>
      <c r="Q61" s="4">
        <v>33.5</v>
      </c>
      <c r="R61" s="4">
        <v>104</v>
      </c>
      <c r="V61" s="6" t="s">
        <v>2093</v>
      </c>
    </row>
    <row r="62" spans="1:22" s="4" customFormat="1">
      <c r="A62" s="3"/>
      <c r="B62" s="4" t="s">
        <v>1228</v>
      </c>
      <c r="C62" s="4" t="s">
        <v>2094</v>
      </c>
      <c r="E62" s="64" t="s">
        <v>40</v>
      </c>
      <c r="F62" s="44">
        <v>20130</v>
      </c>
      <c r="G62" s="21">
        <f t="shared" si="7"/>
        <v>1955</v>
      </c>
      <c r="H62" s="4">
        <f t="shared" si="1"/>
        <v>71</v>
      </c>
      <c r="I62" s="3"/>
      <c r="J62" s="3" t="s">
        <v>27</v>
      </c>
      <c r="K62" s="4" t="s">
        <v>1230</v>
      </c>
      <c r="L62" s="5"/>
      <c r="M62" s="5" t="s">
        <v>2095</v>
      </c>
      <c r="O62" s="4" t="s">
        <v>273</v>
      </c>
      <c r="P62" s="4">
        <v>155</v>
      </c>
      <c r="Q62" s="4">
        <v>59.5</v>
      </c>
      <c r="R62" s="4">
        <v>120</v>
      </c>
      <c r="V62" s="6" t="s">
        <v>2096</v>
      </c>
    </row>
    <row r="63" spans="1:22" s="4" customFormat="1" hidden="1">
      <c r="A63" s="3"/>
      <c r="B63" s="4" t="s">
        <v>1228</v>
      </c>
      <c r="C63" s="4" t="s">
        <v>2097</v>
      </c>
      <c r="E63" s="64" t="s">
        <v>2374</v>
      </c>
      <c r="F63" s="4" t="s">
        <v>2098</v>
      </c>
      <c r="G63" s="21" t="str">
        <f t="shared" ref="G63:G68" si="9">RIGHT(F63,4)</f>
        <v>1982</v>
      </c>
      <c r="H63" s="4">
        <f t="shared" si="1"/>
        <v>44</v>
      </c>
      <c r="I63" s="3"/>
      <c r="J63" s="3" t="s">
        <v>27</v>
      </c>
      <c r="K63" s="4" t="s">
        <v>1230</v>
      </c>
      <c r="L63" s="5"/>
      <c r="M63" s="5" t="s">
        <v>2099</v>
      </c>
      <c r="O63" s="4" t="s">
        <v>2100</v>
      </c>
      <c r="P63" s="4">
        <v>173</v>
      </c>
      <c r="Q63" s="4">
        <v>87</v>
      </c>
      <c r="R63" s="4">
        <v>89</v>
      </c>
      <c r="V63" s="6" t="s">
        <v>2101</v>
      </c>
    </row>
    <row r="64" spans="1:22" s="4" customFormat="1" hidden="1">
      <c r="A64" s="3"/>
      <c r="B64" s="4" t="s">
        <v>1228</v>
      </c>
      <c r="C64" s="4" t="s">
        <v>2102</v>
      </c>
      <c r="E64" s="64" t="s">
        <v>2374</v>
      </c>
      <c r="F64" s="44">
        <v>28554</v>
      </c>
      <c r="G64" s="21">
        <f t="shared" si="7"/>
        <v>1978</v>
      </c>
      <c r="H64" s="4">
        <f t="shared" si="1"/>
        <v>48</v>
      </c>
      <c r="I64" s="3" t="s">
        <v>27</v>
      </c>
      <c r="J64" s="3"/>
      <c r="K64" s="4" t="s">
        <v>1230</v>
      </c>
      <c r="L64" s="5"/>
      <c r="M64" s="5" t="s">
        <v>2103</v>
      </c>
      <c r="O64" s="4" t="s">
        <v>2104</v>
      </c>
      <c r="P64" s="4">
        <v>158</v>
      </c>
      <c r="Q64" s="4">
        <v>52</v>
      </c>
      <c r="R64" s="4">
        <v>67</v>
      </c>
      <c r="V64" s="6" t="s">
        <v>1076</v>
      </c>
    </row>
    <row r="65" spans="1:22" s="4" customFormat="1" hidden="1">
      <c r="A65" s="3"/>
      <c r="B65" s="4" t="s">
        <v>1228</v>
      </c>
      <c r="C65" s="4" t="s">
        <v>2105</v>
      </c>
      <c r="E65" s="64" t="s">
        <v>2374</v>
      </c>
      <c r="F65" s="4" t="s">
        <v>2106</v>
      </c>
      <c r="G65" s="21" t="str">
        <f t="shared" si="9"/>
        <v>1967</v>
      </c>
      <c r="H65" s="4">
        <f t="shared" si="1"/>
        <v>59</v>
      </c>
      <c r="I65" s="3" t="s">
        <v>27</v>
      </c>
      <c r="J65" s="3"/>
      <c r="K65" s="4" t="s">
        <v>1230</v>
      </c>
      <c r="L65" s="5"/>
      <c r="M65" s="5" t="s">
        <v>2107</v>
      </c>
      <c r="O65" s="4" t="s">
        <v>2108</v>
      </c>
      <c r="P65" s="4">
        <v>165</v>
      </c>
      <c r="Q65" s="4">
        <v>62.9</v>
      </c>
      <c r="R65" s="4">
        <v>97</v>
      </c>
      <c r="V65" s="6" t="s">
        <v>2109</v>
      </c>
    </row>
    <row r="66" spans="1:22" s="4" customFormat="1">
      <c r="A66" s="3"/>
      <c r="B66" s="4" t="s">
        <v>1228</v>
      </c>
      <c r="C66" s="4" t="s">
        <v>2110</v>
      </c>
      <c r="E66" s="64" t="s">
        <v>40</v>
      </c>
      <c r="F66" s="4" t="s">
        <v>2111</v>
      </c>
      <c r="G66" s="21" t="str">
        <f t="shared" si="9"/>
        <v>1953</v>
      </c>
      <c r="H66" s="4">
        <f t="shared" si="1"/>
        <v>73</v>
      </c>
      <c r="I66" s="3"/>
      <c r="J66" s="3" t="s">
        <v>27</v>
      </c>
      <c r="K66" s="4" t="s">
        <v>1230</v>
      </c>
      <c r="L66" s="5"/>
      <c r="M66" s="5" t="s">
        <v>2112</v>
      </c>
      <c r="O66" s="4" t="s">
        <v>183</v>
      </c>
      <c r="P66" s="4">
        <v>150</v>
      </c>
      <c r="Q66" s="4">
        <v>31.5</v>
      </c>
      <c r="R66" s="4">
        <v>94</v>
      </c>
      <c r="V66" s="6" t="s">
        <v>2113</v>
      </c>
    </row>
    <row r="67" spans="1:22" s="4" customFormat="1">
      <c r="A67" s="3"/>
      <c r="B67" s="4" t="s">
        <v>1228</v>
      </c>
      <c r="C67" s="4" t="s">
        <v>2114</v>
      </c>
      <c r="E67" s="64" t="s">
        <v>40</v>
      </c>
      <c r="F67" s="44">
        <v>21310</v>
      </c>
      <c r="G67" s="21">
        <f t="shared" si="7"/>
        <v>1958</v>
      </c>
      <c r="H67" s="4">
        <f t="shared" ref="H67:H130" si="10">2026-G67</f>
        <v>68</v>
      </c>
      <c r="I67" s="3"/>
      <c r="J67" s="3" t="s">
        <v>27</v>
      </c>
      <c r="K67" s="4" t="s">
        <v>1230</v>
      </c>
      <c r="L67" s="5"/>
      <c r="M67" s="5" t="s">
        <v>2115</v>
      </c>
      <c r="O67" s="4" t="s">
        <v>2116</v>
      </c>
      <c r="P67" s="4">
        <v>152</v>
      </c>
      <c r="Q67" s="4">
        <v>44</v>
      </c>
      <c r="R67" s="4">
        <v>94</v>
      </c>
      <c r="V67" s="6" t="s">
        <v>2117</v>
      </c>
    </row>
    <row r="68" spans="1:22" s="4" customFormat="1">
      <c r="A68" s="3"/>
      <c r="B68" s="4" t="s">
        <v>1228</v>
      </c>
      <c r="C68" s="4" t="s">
        <v>960</v>
      </c>
      <c r="E68" s="64" t="s">
        <v>40</v>
      </c>
      <c r="F68" s="4" t="s">
        <v>2118</v>
      </c>
      <c r="G68" s="21" t="str">
        <f t="shared" si="9"/>
        <v>1933</v>
      </c>
      <c r="H68" s="4">
        <f t="shared" si="10"/>
        <v>93</v>
      </c>
      <c r="I68" s="3"/>
      <c r="J68" s="3" t="s">
        <v>27</v>
      </c>
      <c r="K68" s="4" t="s">
        <v>1230</v>
      </c>
      <c r="L68" s="5"/>
      <c r="M68" s="5" t="s">
        <v>2119</v>
      </c>
      <c r="O68" s="4" t="s">
        <v>2120</v>
      </c>
      <c r="P68" s="4">
        <v>142</v>
      </c>
      <c r="Q68" s="4">
        <v>41.6</v>
      </c>
      <c r="R68" s="4">
        <v>95</v>
      </c>
      <c r="V68" s="6" t="s">
        <v>2121</v>
      </c>
    </row>
    <row r="69" spans="1:22" s="4" customFormat="1" hidden="1">
      <c r="A69" s="3"/>
      <c r="B69" s="4" t="s">
        <v>1228</v>
      </c>
      <c r="C69" s="4" t="s">
        <v>2122</v>
      </c>
      <c r="E69" s="64" t="s">
        <v>2374</v>
      </c>
      <c r="F69" s="44">
        <v>25265</v>
      </c>
      <c r="G69" s="21">
        <f t="shared" si="7"/>
        <v>1969</v>
      </c>
      <c r="H69" s="4">
        <f t="shared" si="10"/>
        <v>57</v>
      </c>
      <c r="I69" s="3"/>
      <c r="J69" s="3" t="s">
        <v>27</v>
      </c>
      <c r="K69" s="4" t="s">
        <v>1230</v>
      </c>
      <c r="L69" s="5"/>
      <c r="M69" s="5" t="s">
        <v>2123</v>
      </c>
      <c r="O69" s="4" t="s">
        <v>2124</v>
      </c>
      <c r="P69" s="4">
        <v>152</v>
      </c>
      <c r="Q69" s="4">
        <v>48.7</v>
      </c>
      <c r="R69" s="4">
        <v>102</v>
      </c>
      <c r="V69" s="6" t="s">
        <v>2125</v>
      </c>
    </row>
    <row r="70" spans="1:22" s="4" customFormat="1" hidden="1">
      <c r="A70" s="3"/>
      <c r="B70" s="4" t="s">
        <v>1228</v>
      </c>
      <c r="C70" s="4" t="s">
        <v>105</v>
      </c>
      <c r="E70" s="64" t="s">
        <v>2374</v>
      </c>
      <c r="F70" s="44">
        <v>25486</v>
      </c>
      <c r="G70" s="21">
        <f t="shared" si="7"/>
        <v>1969</v>
      </c>
      <c r="H70" s="4">
        <f t="shared" si="10"/>
        <v>57</v>
      </c>
      <c r="I70" s="3"/>
      <c r="J70" s="3" t="s">
        <v>27</v>
      </c>
      <c r="K70" s="4" t="s">
        <v>1230</v>
      </c>
      <c r="L70" s="5"/>
      <c r="M70" s="5" t="s">
        <v>2126</v>
      </c>
      <c r="O70" s="4" t="s">
        <v>2127</v>
      </c>
      <c r="P70" s="4">
        <v>162</v>
      </c>
      <c r="Q70" s="4">
        <v>66</v>
      </c>
      <c r="R70" s="4">
        <v>84</v>
      </c>
      <c r="V70" s="6" t="s">
        <v>2128</v>
      </c>
    </row>
    <row r="71" spans="1:22" s="4" customFormat="1" hidden="1">
      <c r="A71" s="3"/>
      <c r="B71" s="4" t="s">
        <v>1228</v>
      </c>
      <c r="C71" s="4" t="s">
        <v>1491</v>
      </c>
      <c r="E71" s="64" t="s">
        <v>2374</v>
      </c>
      <c r="F71" s="44">
        <v>24484</v>
      </c>
      <c r="G71" s="21">
        <f t="shared" si="7"/>
        <v>1967</v>
      </c>
      <c r="H71" s="4">
        <f t="shared" si="10"/>
        <v>59</v>
      </c>
      <c r="I71" s="3"/>
      <c r="J71" s="3" t="s">
        <v>27</v>
      </c>
      <c r="K71" s="4" t="s">
        <v>1230</v>
      </c>
      <c r="L71" s="5"/>
      <c r="M71" s="5" t="s">
        <v>2129</v>
      </c>
      <c r="O71" s="4" t="s">
        <v>2130</v>
      </c>
      <c r="P71" s="4">
        <v>158</v>
      </c>
      <c r="Q71" s="4">
        <v>34</v>
      </c>
      <c r="R71" s="4">
        <v>95</v>
      </c>
      <c r="V71" s="6" t="s">
        <v>2131</v>
      </c>
    </row>
    <row r="72" spans="1:22" s="4" customFormat="1" hidden="1">
      <c r="A72" s="3"/>
      <c r="B72" s="4" t="s">
        <v>1228</v>
      </c>
      <c r="C72" s="4" t="s">
        <v>2132</v>
      </c>
      <c r="E72" s="64" t="s">
        <v>2374</v>
      </c>
      <c r="F72" s="44">
        <v>25569</v>
      </c>
      <c r="G72" s="21">
        <f t="shared" si="7"/>
        <v>1970</v>
      </c>
      <c r="H72" s="4">
        <f t="shared" si="10"/>
        <v>56</v>
      </c>
      <c r="I72" s="3"/>
      <c r="J72" s="3" t="s">
        <v>27</v>
      </c>
      <c r="K72" s="4" t="s">
        <v>1230</v>
      </c>
      <c r="L72" s="5"/>
      <c r="M72" s="5" t="s">
        <v>2133</v>
      </c>
      <c r="O72" s="4" t="s">
        <v>1280</v>
      </c>
      <c r="P72" s="4">
        <v>154</v>
      </c>
      <c r="Q72" s="4">
        <v>54.5</v>
      </c>
      <c r="R72" s="4">
        <v>82</v>
      </c>
      <c r="V72" s="6" t="s">
        <v>2134</v>
      </c>
    </row>
    <row r="73" spans="1:22" s="4" customFormat="1">
      <c r="A73" s="3"/>
      <c r="B73" s="4" t="s">
        <v>1228</v>
      </c>
      <c r="C73" s="4" t="s">
        <v>2135</v>
      </c>
      <c r="E73" s="64" t="s">
        <v>40</v>
      </c>
      <c r="F73" s="4" t="s">
        <v>2136</v>
      </c>
      <c r="G73" s="21" t="str">
        <f>RIGHT(F73,4)</f>
        <v>1944</v>
      </c>
      <c r="H73" s="4">
        <f t="shared" si="10"/>
        <v>82</v>
      </c>
      <c r="I73" s="3"/>
      <c r="J73" s="3" t="s">
        <v>27</v>
      </c>
      <c r="K73" s="4" t="s">
        <v>1919</v>
      </c>
      <c r="L73" s="5"/>
      <c r="M73" s="5" t="s">
        <v>2137</v>
      </c>
      <c r="O73" s="4" t="s">
        <v>34</v>
      </c>
      <c r="R73" s="4">
        <v>82</v>
      </c>
      <c r="V73" s="6" t="s">
        <v>2138</v>
      </c>
    </row>
    <row r="74" spans="1:22" s="4" customFormat="1" hidden="1">
      <c r="A74" s="3"/>
      <c r="B74" s="4" t="s">
        <v>1228</v>
      </c>
      <c r="C74" s="4" t="s">
        <v>2139</v>
      </c>
      <c r="E74" s="64" t="s">
        <v>2374</v>
      </c>
      <c r="F74" s="4" t="s">
        <v>2140</v>
      </c>
      <c r="G74" s="21" t="str">
        <f>RIGHT(F74,4)</f>
        <v>1982</v>
      </c>
      <c r="H74" s="4">
        <f t="shared" si="10"/>
        <v>44</v>
      </c>
      <c r="I74" s="3"/>
      <c r="J74" s="3" t="s">
        <v>27</v>
      </c>
      <c r="K74" s="4" t="s">
        <v>1919</v>
      </c>
      <c r="L74" s="5"/>
      <c r="M74" s="5" t="s">
        <v>2141</v>
      </c>
      <c r="O74" s="4" t="s">
        <v>34</v>
      </c>
      <c r="P74" s="4">
        <v>150</v>
      </c>
      <c r="Q74" s="4">
        <v>48</v>
      </c>
      <c r="R74" s="4">
        <v>80</v>
      </c>
      <c r="V74" s="6" t="s">
        <v>715</v>
      </c>
    </row>
    <row r="75" spans="1:22" s="4" customFormat="1">
      <c r="A75" s="3"/>
      <c r="B75" s="4" t="s">
        <v>1228</v>
      </c>
      <c r="C75" s="4" t="s">
        <v>2142</v>
      </c>
      <c r="E75" s="64" t="s">
        <v>40</v>
      </c>
      <c r="F75" s="4" t="s">
        <v>2143</v>
      </c>
      <c r="G75" s="21" t="str">
        <f>RIGHT(F75,4)</f>
        <v>1936</v>
      </c>
      <c r="H75" s="4">
        <f t="shared" si="10"/>
        <v>90</v>
      </c>
      <c r="I75" s="3" t="s">
        <v>27</v>
      </c>
      <c r="J75" s="3"/>
      <c r="K75" s="4" t="s">
        <v>1919</v>
      </c>
      <c r="L75" s="5"/>
      <c r="M75" s="5" t="s">
        <v>2144</v>
      </c>
      <c r="O75" s="4" t="s">
        <v>1608</v>
      </c>
      <c r="P75" s="4">
        <v>150</v>
      </c>
      <c r="Q75" s="4">
        <v>45</v>
      </c>
      <c r="R75" s="4">
        <v>80</v>
      </c>
      <c r="V75" s="6" t="s">
        <v>2145</v>
      </c>
    </row>
    <row r="76" spans="1:22" s="4" customFormat="1" hidden="1">
      <c r="A76" s="3"/>
      <c r="B76" s="4" t="s">
        <v>1228</v>
      </c>
      <c r="C76" s="4" t="s">
        <v>2146</v>
      </c>
      <c r="E76" s="64" t="s">
        <v>2374</v>
      </c>
      <c r="F76" s="4" t="s">
        <v>2147</v>
      </c>
      <c r="G76" s="21" t="str">
        <f>RIGHT(F76,4)</f>
        <v>1971</v>
      </c>
      <c r="H76" s="4">
        <f t="shared" si="10"/>
        <v>55</v>
      </c>
      <c r="I76" s="3"/>
      <c r="J76" s="3" t="s">
        <v>27</v>
      </c>
      <c r="K76" s="4" t="s">
        <v>1919</v>
      </c>
      <c r="L76" s="5"/>
      <c r="M76" s="49" t="s">
        <v>2148</v>
      </c>
      <c r="O76" s="4" t="s">
        <v>60</v>
      </c>
      <c r="P76" s="4">
        <v>165</v>
      </c>
      <c r="Q76" s="4">
        <v>57</v>
      </c>
      <c r="R76" s="4">
        <v>80</v>
      </c>
      <c r="V76" s="6" t="s">
        <v>2149</v>
      </c>
    </row>
    <row r="77" spans="1:22" s="4" customFormat="1" hidden="1">
      <c r="A77" s="3"/>
      <c r="B77" s="4" t="s">
        <v>1228</v>
      </c>
      <c r="C77" s="4" t="s">
        <v>2150</v>
      </c>
      <c r="E77" s="64" t="s">
        <v>2374</v>
      </c>
      <c r="F77" s="4" t="s">
        <v>2151</v>
      </c>
      <c r="G77" s="21" t="str">
        <f>RIGHT(F77,4)</f>
        <v>1970</v>
      </c>
      <c r="H77" s="4">
        <f t="shared" si="10"/>
        <v>56</v>
      </c>
      <c r="I77" s="3"/>
      <c r="J77" s="3" t="s">
        <v>27</v>
      </c>
      <c r="K77" s="4" t="s">
        <v>1919</v>
      </c>
      <c r="L77" s="50" t="s">
        <v>2152</v>
      </c>
      <c r="M77" s="5" t="s">
        <v>2153</v>
      </c>
      <c r="O77" s="4" t="s">
        <v>34</v>
      </c>
      <c r="P77" s="4">
        <v>158</v>
      </c>
      <c r="Q77" s="4">
        <v>53</v>
      </c>
      <c r="R77" s="4">
        <v>80</v>
      </c>
      <c r="V77" s="6" t="s">
        <v>2053</v>
      </c>
    </row>
    <row r="78" spans="1:22" s="4" customFormat="1">
      <c r="A78" s="3"/>
      <c r="B78" s="4" t="s">
        <v>1228</v>
      </c>
      <c r="C78" s="4" t="s">
        <v>137</v>
      </c>
      <c r="E78" s="64" t="s">
        <v>40</v>
      </c>
      <c r="F78" s="44">
        <v>17148</v>
      </c>
      <c r="G78" s="21">
        <f t="shared" si="7"/>
        <v>1946</v>
      </c>
      <c r="H78" s="4">
        <f t="shared" si="10"/>
        <v>80</v>
      </c>
      <c r="I78" s="3"/>
      <c r="J78" s="3" t="s">
        <v>27</v>
      </c>
      <c r="K78" s="4" t="s">
        <v>1919</v>
      </c>
      <c r="L78" s="5"/>
      <c r="M78" s="5" t="s">
        <v>2154</v>
      </c>
      <c r="O78" s="4" t="s">
        <v>87</v>
      </c>
      <c r="P78" s="4">
        <v>150</v>
      </c>
      <c r="Q78" s="4">
        <v>52</v>
      </c>
      <c r="R78" s="4">
        <v>80</v>
      </c>
      <c r="V78" s="6" t="s">
        <v>2155</v>
      </c>
    </row>
    <row r="79" spans="1:22" s="4" customFormat="1">
      <c r="A79" s="3"/>
      <c r="B79" s="4" t="s">
        <v>1228</v>
      </c>
      <c r="C79" s="4" t="s">
        <v>2156</v>
      </c>
      <c r="E79" s="64" t="s">
        <v>40</v>
      </c>
      <c r="F79" s="44">
        <v>14894</v>
      </c>
      <c r="G79" s="21">
        <f t="shared" si="7"/>
        <v>1940</v>
      </c>
      <c r="H79" s="4">
        <f t="shared" si="10"/>
        <v>86</v>
      </c>
      <c r="I79" s="3"/>
      <c r="J79" s="3" t="s">
        <v>27</v>
      </c>
      <c r="K79" s="4" t="s">
        <v>1919</v>
      </c>
      <c r="L79" s="5"/>
      <c r="M79" s="5" t="s">
        <v>2157</v>
      </c>
      <c r="O79" s="4" t="s">
        <v>34</v>
      </c>
      <c r="P79" s="4">
        <v>148</v>
      </c>
      <c r="Q79" s="4">
        <v>50</v>
      </c>
      <c r="R79" s="4">
        <v>79</v>
      </c>
      <c r="V79" s="6" t="s">
        <v>2158</v>
      </c>
    </row>
    <row r="80" spans="1:22" s="4" customFormat="1">
      <c r="A80" s="3"/>
      <c r="B80" s="4" t="s">
        <v>1228</v>
      </c>
      <c r="C80" s="4" t="s">
        <v>2159</v>
      </c>
      <c r="E80" s="64" t="s">
        <v>40</v>
      </c>
      <c r="F80" s="44">
        <v>20943</v>
      </c>
      <c r="G80" s="21">
        <f t="shared" si="7"/>
        <v>1957</v>
      </c>
      <c r="H80" s="4">
        <f t="shared" si="10"/>
        <v>69</v>
      </c>
      <c r="I80" s="3"/>
      <c r="J80" s="3" t="s">
        <v>27</v>
      </c>
      <c r="K80" s="4" t="s">
        <v>1919</v>
      </c>
      <c r="L80" s="5"/>
      <c r="M80" s="5" t="s">
        <v>2160</v>
      </c>
      <c r="O80" s="4" t="s">
        <v>34</v>
      </c>
      <c r="P80" s="4">
        <v>150</v>
      </c>
      <c r="Q80" s="4">
        <v>45</v>
      </c>
      <c r="R80" s="4">
        <v>80</v>
      </c>
      <c r="V80" s="6" t="s">
        <v>2161</v>
      </c>
    </row>
    <row r="81" spans="1:22" s="4" customFormat="1">
      <c r="A81" s="3"/>
      <c r="B81" s="4" t="s">
        <v>1228</v>
      </c>
      <c r="C81" s="4" t="s">
        <v>2162</v>
      </c>
      <c r="E81" s="64" t="s">
        <v>40</v>
      </c>
      <c r="F81" s="44">
        <v>17168</v>
      </c>
      <c r="G81" s="21">
        <f t="shared" si="7"/>
        <v>1947</v>
      </c>
      <c r="H81" s="4">
        <f t="shared" si="10"/>
        <v>79</v>
      </c>
      <c r="I81" s="3"/>
      <c r="J81" s="3" t="s">
        <v>27</v>
      </c>
      <c r="K81" s="4" t="s">
        <v>1919</v>
      </c>
      <c r="L81" s="5"/>
      <c r="M81" s="5" t="s">
        <v>2163</v>
      </c>
      <c r="O81" s="4" t="s">
        <v>143</v>
      </c>
      <c r="P81" s="4">
        <v>155</v>
      </c>
      <c r="Q81" s="4">
        <v>60</v>
      </c>
      <c r="R81" s="4">
        <v>80</v>
      </c>
      <c r="V81" s="6" t="s">
        <v>2164</v>
      </c>
    </row>
    <row r="82" spans="1:22" s="4" customFormat="1">
      <c r="A82" s="3"/>
      <c r="B82" s="4" t="s">
        <v>1228</v>
      </c>
      <c r="C82" s="4" t="s">
        <v>1436</v>
      </c>
      <c r="E82" s="64" t="s">
        <v>40</v>
      </c>
      <c r="F82" s="4" t="s">
        <v>2165</v>
      </c>
      <c r="G82" s="21" t="str">
        <f>RIGHT(F82,4)</f>
        <v>1947</v>
      </c>
      <c r="H82" s="4">
        <f t="shared" si="10"/>
        <v>79</v>
      </c>
      <c r="I82" s="3"/>
      <c r="J82" s="3" t="s">
        <v>27</v>
      </c>
      <c r="K82" s="4" t="s">
        <v>1919</v>
      </c>
      <c r="L82" s="5"/>
      <c r="M82" s="5" t="s">
        <v>2166</v>
      </c>
      <c r="O82" s="4" t="s">
        <v>2167</v>
      </c>
      <c r="P82" s="4">
        <v>155</v>
      </c>
      <c r="Q82" s="4">
        <v>45</v>
      </c>
      <c r="R82" s="4">
        <v>80</v>
      </c>
      <c r="V82" s="6" t="s">
        <v>2168</v>
      </c>
    </row>
    <row r="83" spans="1:22" s="4" customFormat="1" hidden="1">
      <c r="A83" s="3"/>
      <c r="B83" s="4" t="s">
        <v>1228</v>
      </c>
      <c r="C83" s="4" t="s">
        <v>2169</v>
      </c>
      <c r="E83" s="64" t="s">
        <v>2374</v>
      </c>
      <c r="F83" s="44">
        <v>27582</v>
      </c>
      <c r="G83" s="21">
        <f t="shared" si="7"/>
        <v>1975</v>
      </c>
      <c r="H83" s="4">
        <f t="shared" si="10"/>
        <v>51</v>
      </c>
      <c r="I83" s="3"/>
      <c r="J83" s="3" t="s">
        <v>27</v>
      </c>
      <c r="K83" s="4" t="s">
        <v>1919</v>
      </c>
      <c r="L83" s="5"/>
      <c r="M83" s="5" t="s">
        <v>2170</v>
      </c>
      <c r="O83" s="4" t="s">
        <v>60</v>
      </c>
      <c r="P83" s="4">
        <v>155</v>
      </c>
      <c r="Q83" s="4">
        <v>58</v>
      </c>
      <c r="R83" s="4">
        <v>87</v>
      </c>
      <c r="V83" s="6" t="s">
        <v>1807</v>
      </c>
    </row>
    <row r="84" spans="1:22" s="4" customFormat="1">
      <c r="A84" s="3"/>
      <c r="B84" s="4" t="s">
        <v>1228</v>
      </c>
      <c r="C84" s="4" t="s">
        <v>2171</v>
      </c>
      <c r="E84" s="64" t="s">
        <v>40</v>
      </c>
      <c r="F84" s="4" t="s">
        <v>2172</v>
      </c>
      <c r="G84" s="21" t="str">
        <f>RIGHT(F84,4)</f>
        <v>1944</v>
      </c>
      <c r="H84" s="4">
        <f t="shared" si="10"/>
        <v>82</v>
      </c>
      <c r="I84" s="3" t="s">
        <v>27</v>
      </c>
      <c r="J84" s="3"/>
      <c r="K84" s="4" t="s">
        <v>1919</v>
      </c>
      <c r="L84" s="5"/>
      <c r="M84" s="5" t="s">
        <v>2173</v>
      </c>
      <c r="O84" s="4" t="s">
        <v>1467</v>
      </c>
      <c r="P84" s="4">
        <v>156</v>
      </c>
      <c r="Q84" s="4">
        <v>45</v>
      </c>
      <c r="R84" s="4">
        <v>83</v>
      </c>
      <c r="V84" s="6" t="s">
        <v>2174</v>
      </c>
    </row>
    <row r="85" spans="1:22" s="4" customFormat="1">
      <c r="A85" s="3"/>
      <c r="B85" s="4" t="s">
        <v>1228</v>
      </c>
      <c r="C85" s="4" t="s">
        <v>26</v>
      </c>
      <c r="E85" s="64" t="s">
        <v>40</v>
      </c>
      <c r="F85" s="44">
        <v>16959</v>
      </c>
      <c r="G85" s="21">
        <f t="shared" si="7"/>
        <v>1946</v>
      </c>
      <c r="H85" s="4">
        <f t="shared" si="10"/>
        <v>80</v>
      </c>
      <c r="I85" s="3"/>
      <c r="J85" s="3" t="s">
        <v>27</v>
      </c>
      <c r="K85" s="4" t="s">
        <v>1919</v>
      </c>
      <c r="L85" s="5"/>
      <c r="M85" s="5" t="s">
        <v>2175</v>
      </c>
      <c r="O85" s="4" t="s">
        <v>1608</v>
      </c>
      <c r="P85" s="4">
        <v>158</v>
      </c>
      <c r="Q85" s="4">
        <v>44</v>
      </c>
      <c r="R85" s="4">
        <v>85</v>
      </c>
      <c r="V85" s="6" t="s">
        <v>2176</v>
      </c>
    </row>
    <row r="86" spans="1:22" s="4" customFormat="1" hidden="1">
      <c r="A86" s="3"/>
      <c r="B86" s="4" t="s">
        <v>1228</v>
      </c>
      <c r="C86" s="4" t="s">
        <v>2177</v>
      </c>
      <c r="E86" s="64" t="s">
        <v>2374</v>
      </c>
      <c r="F86" s="44">
        <v>24848</v>
      </c>
      <c r="G86" s="21">
        <f t="shared" si="7"/>
        <v>1968</v>
      </c>
      <c r="H86" s="4">
        <f t="shared" si="10"/>
        <v>58</v>
      </c>
      <c r="I86" s="3" t="s">
        <v>27</v>
      </c>
      <c r="J86" s="3"/>
      <c r="K86" s="4" t="s">
        <v>1919</v>
      </c>
      <c r="L86" s="5"/>
      <c r="M86" s="5" t="s">
        <v>2178</v>
      </c>
      <c r="O86" s="4" t="s">
        <v>87</v>
      </c>
      <c r="P86" s="4">
        <v>150</v>
      </c>
      <c r="Q86" s="4">
        <v>58</v>
      </c>
      <c r="R86" s="4">
        <v>85</v>
      </c>
      <c r="V86" s="6" t="s">
        <v>2179</v>
      </c>
    </row>
    <row r="87" spans="1:22" s="4" customFormat="1" hidden="1">
      <c r="A87" s="3"/>
      <c r="B87" s="4" t="s">
        <v>1228</v>
      </c>
      <c r="C87" s="4" t="s">
        <v>2180</v>
      </c>
      <c r="E87" s="64" t="s">
        <v>2374</v>
      </c>
      <c r="F87" s="44">
        <v>27920</v>
      </c>
      <c r="G87" s="21">
        <f t="shared" si="7"/>
        <v>1976</v>
      </c>
      <c r="H87" s="4">
        <f t="shared" si="10"/>
        <v>50</v>
      </c>
      <c r="I87" s="3" t="s">
        <v>27</v>
      </c>
      <c r="J87" s="3"/>
      <c r="K87" s="4" t="s">
        <v>1919</v>
      </c>
      <c r="L87" s="50" t="s">
        <v>2181</v>
      </c>
      <c r="M87" s="5" t="s">
        <v>2182</v>
      </c>
      <c r="O87" s="4" t="s">
        <v>2183</v>
      </c>
      <c r="P87" s="4">
        <v>164</v>
      </c>
      <c r="Q87" s="4">
        <v>51.5</v>
      </c>
      <c r="R87" s="4">
        <v>80</v>
      </c>
      <c r="V87" s="6" t="s">
        <v>2179</v>
      </c>
    </row>
    <row r="88" spans="1:22" s="4" customFormat="1">
      <c r="A88" s="3"/>
      <c r="B88" s="4" t="s">
        <v>1228</v>
      </c>
      <c r="C88" s="4" t="s">
        <v>2184</v>
      </c>
      <c r="E88" s="64" t="s">
        <v>40</v>
      </c>
      <c r="F88" s="4" t="s">
        <v>2185</v>
      </c>
      <c r="G88" s="21" t="str">
        <f t="shared" ref="G88:G93" si="11">RIGHT(F88,4)</f>
        <v>1965</v>
      </c>
      <c r="H88" s="4">
        <f t="shared" si="10"/>
        <v>61</v>
      </c>
      <c r="I88" s="3" t="s">
        <v>27</v>
      </c>
      <c r="J88" s="3"/>
      <c r="K88" s="4" t="s">
        <v>1919</v>
      </c>
      <c r="L88" s="5"/>
      <c r="M88" s="5" t="s">
        <v>2186</v>
      </c>
      <c r="V88" s="6" t="s">
        <v>2187</v>
      </c>
    </row>
    <row r="89" spans="1:22" s="4" customFormat="1" hidden="1">
      <c r="A89" s="3"/>
      <c r="B89" s="4" t="s">
        <v>1228</v>
      </c>
      <c r="C89" s="4" t="s">
        <v>2188</v>
      </c>
      <c r="E89" s="64" t="s">
        <v>2374</v>
      </c>
      <c r="F89" s="44">
        <v>24474</v>
      </c>
      <c r="G89" s="21">
        <f t="shared" si="7"/>
        <v>1967</v>
      </c>
      <c r="H89" s="4">
        <f t="shared" si="10"/>
        <v>59</v>
      </c>
      <c r="I89" s="3" t="s">
        <v>27</v>
      </c>
      <c r="J89" s="3"/>
      <c r="K89" s="4" t="s">
        <v>1919</v>
      </c>
      <c r="L89" s="5"/>
      <c r="M89" s="5" t="s">
        <v>2189</v>
      </c>
      <c r="O89" s="4" t="s">
        <v>263</v>
      </c>
      <c r="P89" s="4">
        <v>165</v>
      </c>
      <c r="Q89" s="4">
        <v>51</v>
      </c>
      <c r="R89" s="4">
        <v>80</v>
      </c>
      <c r="V89" s="6" t="s">
        <v>2190</v>
      </c>
    </row>
    <row r="90" spans="1:22" s="4" customFormat="1">
      <c r="A90" s="3"/>
      <c r="B90" s="4" t="s">
        <v>1228</v>
      </c>
      <c r="C90" s="4" t="s">
        <v>2191</v>
      </c>
      <c r="E90" s="64" t="s">
        <v>40</v>
      </c>
      <c r="F90" s="4" t="s">
        <v>2192</v>
      </c>
      <c r="G90" s="21" t="str">
        <f t="shared" si="11"/>
        <v>1948</v>
      </c>
      <c r="H90" s="4">
        <f t="shared" si="10"/>
        <v>78</v>
      </c>
      <c r="I90" s="3" t="s">
        <v>27</v>
      </c>
      <c r="J90" s="3"/>
      <c r="K90" s="4" t="s">
        <v>1919</v>
      </c>
      <c r="L90" s="5"/>
      <c r="M90" s="5" t="s">
        <v>2193</v>
      </c>
      <c r="O90" s="4" t="s">
        <v>87</v>
      </c>
      <c r="P90" s="4">
        <v>167</v>
      </c>
      <c r="Q90" s="4">
        <v>60</v>
      </c>
      <c r="R90" s="4">
        <v>80</v>
      </c>
      <c r="V90" s="6" t="s">
        <v>2194</v>
      </c>
    </row>
    <row r="91" spans="1:22" s="4" customFormat="1">
      <c r="A91" s="3"/>
      <c r="B91" s="4" t="s">
        <v>1228</v>
      </c>
      <c r="C91" s="4" t="s">
        <v>105</v>
      </c>
      <c r="E91" s="64" t="s">
        <v>40</v>
      </c>
      <c r="F91" s="4" t="s">
        <v>2195</v>
      </c>
      <c r="G91" s="21" t="str">
        <f t="shared" si="11"/>
        <v>1953</v>
      </c>
      <c r="H91" s="4">
        <f t="shared" si="10"/>
        <v>73</v>
      </c>
      <c r="I91" s="3"/>
      <c r="J91" s="3" t="s">
        <v>27</v>
      </c>
      <c r="K91" s="4" t="s">
        <v>1919</v>
      </c>
      <c r="L91" s="5"/>
      <c r="M91" s="5" t="s">
        <v>2196</v>
      </c>
      <c r="O91" s="4" t="s">
        <v>570</v>
      </c>
      <c r="P91" s="4">
        <v>150</v>
      </c>
      <c r="Q91" s="4">
        <v>43</v>
      </c>
      <c r="R91" s="4">
        <v>80</v>
      </c>
      <c r="V91" s="6" t="s">
        <v>2197</v>
      </c>
    </row>
    <row r="92" spans="1:22" s="4" customFormat="1">
      <c r="A92" s="3"/>
      <c r="B92" s="4" t="s">
        <v>1228</v>
      </c>
      <c r="C92" s="4" t="s">
        <v>2198</v>
      </c>
      <c r="E92" s="64" t="s">
        <v>40</v>
      </c>
      <c r="F92" s="44">
        <v>21094</v>
      </c>
      <c r="G92" s="21">
        <f t="shared" si="7"/>
        <v>1957</v>
      </c>
      <c r="H92" s="4">
        <f t="shared" si="10"/>
        <v>69</v>
      </c>
      <c r="I92" s="3"/>
      <c r="J92" s="3" t="s">
        <v>27</v>
      </c>
      <c r="K92" s="4" t="s">
        <v>1919</v>
      </c>
      <c r="L92" s="5"/>
      <c r="M92" s="5" t="s">
        <v>2199</v>
      </c>
      <c r="O92" s="4" t="s">
        <v>113</v>
      </c>
      <c r="P92" s="4">
        <v>170</v>
      </c>
      <c r="Q92" s="4">
        <v>72</v>
      </c>
      <c r="R92" s="4">
        <v>80</v>
      </c>
      <c r="V92" s="6" t="s">
        <v>2200</v>
      </c>
    </row>
    <row r="93" spans="1:22" s="4" customFormat="1">
      <c r="A93" s="3"/>
      <c r="B93" s="4" t="s">
        <v>1228</v>
      </c>
      <c r="C93" s="4" t="s">
        <v>2201</v>
      </c>
      <c r="E93" s="64" t="s">
        <v>40</v>
      </c>
      <c r="F93" s="4" t="s">
        <v>2202</v>
      </c>
      <c r="G93" s="21" t="str">
        <f t="shared" si="11"/>
        <v>1951</v>
      </c>
      <c r="H93" s="4">
        <f t="shared" si="10"/>
        <v>75</v>
      </c>
      <c r="I93" s="3"/>
      <c r="J93" s="3" t="s">
        <v>27</v>
      </c>
      <c r="K93" s="4" t="s">
        <v>1932</v>
      </c>
      <c r="L93" s="5"/>
      <c r="M93" s="5" t="s">
        <v>2203</v>
      </c>
      <c r="O93" s="4" t="s">
        <v>263</v>
      </c>
      <c r="P93" s="4">
        <v>150</v>
      </c>
      <c r="Q93" s="4">
        <v>42</v>
      </c>
      <c r="R93" s="4">
        <v>82</v>
      </c>
      <c r="V93" s="6" t="s">
        <v>2204</v>
      </c>
    </row>
    <row r="94" spans="1:22" s="4" customFormat="1">
      <c r="A94" s="3"/>
      <c r="B94" s="4" t="s">
        <v>1228</v>
      </c>
      <c r="C94" s="4" t="s">
        <v>2205</v>
      </c>
      <c r="E94" s="64" t="s">
        <v>40</v>
      </c>
      <c r="F94" s="44">
        <v>11819</v>
      </c>
      <c r="G94" s="21">
        <f t="shared" si="7"/>
        <v>1932</v>
      </c>
      <c r="H94" s="4">
        <f t="shared" si="10"/>
        <v>94</v>
      </c>
      <c r="I94" s="3" t="s">
        <v>27</v>
      </c>
      <c r="J94" s="3"/>
      <c r="K94" s="4" t="s">
        <v>1932</v>
      </c>
      <c r="L94" s="5"/>
      <c r="M94" s="5" t="s">
        <v>2206</v>
      </c>
      <c r="O94" s="4" t="s">
        <v>149</v>
      </c>
      <c r="V94" s="6" t="s">
        <v>2207</v>
      </c>
    </row>
    <row r="95" spans="1:22" s="4" customFormat="1">
      <c r="A95" s="3"/>
      <c r="B95" s="4" t="s">
        <v>1228</v>
      </c>
      <c r="C95" s="4" t="s">
        <v>2208</v>
      </c>
      <c r="E95" s="64" t="s">
        <v>40</v>
      </c>
      <c r="F95" s="44">
        <v>16263</v>
      </c>
      <c r="G95" s="21">
        <f t="shared" si="7"/>
        <v>1944</v>
      </c>
      <c r="H95" s="4">
        <f t="shared" si="10"/>
        <v>82</v>
      </c>
      <c r="I95" s="3" t="s">
        <v>27</v>
      </c>
      <c r="J95" s="3"/>
      <c r="K95" s="4" t="s">
        <v>1932</v>
      </c>
      <c r="L95" s="5"/>
      <c r="M95" s="5" t="s">
        <v>2209</v>
      </c>
      <c r="O95" s="4" t="s">
        <v>536</v>
      </c>
      <c r="P95" s="4">
        <v>162</v>
      </c>
      <c r="Q95" s="4">
        <v>50</v>
      </c>
      <c r="R95" s="4">
        <v>97</v>
      </c>
      <c r="V95" s="6" t="s">
        <v>2210</v>
      </c>
    </row>
    <row r="96" spans="1:22" s="4" customFormat="1">
      <c r="A96" s="3"/>
      <c r="B96" s="4" t="s">
        <v>1228</v>
      </c>
      <c r="C96" s="4" t="s">
        <v>2211</v>
      </c>
      <c r="E96" s="64" t="s">
        <v>40</v>
      </c>
      <c r="F96" s="44">
        <v>23377</v>
      </c>
      <c r="G96" s="21">
        <f t="shared" si="7"/>
        <v>1964</v>
      </c>
      <c r="H96" s="4">
        <f t="shared" si="10"/>
        <v>62</v>
      </c>
      <c r="I96" s="3"/>
      <c r="J96" s="3" t="s">
        <v>27</v>
      </c>
      <c r="K96" s="4" t="s">
        <v>1932</v>
      </c>
      <c r="L96" s="5"/>
      <c r="M96" s="5" t="s">
        <v>2212</v>
      </c>
      <c r="O96" s="4" t="s">
        <v>288</v>
      </c>
      <c r="P96" s="4">
        <v>155</v>
      </c>
      <c r="Q96" s="4">
        <v>60</v>
      </c>
      <c r="R96" s="4">
        <v>83</v>
      </c>
      <c r="V96" s="6" t="s">
        <v>2213</v>
      </c>
    </row>
    <row r="97" spans="1:22" s="4" customFormat="1">
      <c r="A97" s="3"/>
      <c r="B97" s="4" t="s">
        <v>1228</v>
      </c>
      <c r="C97" s="4" t="s">
        <v>2214</v>
      </c>
      <c r="E97" s="64" t="s">
        <v>40</v>
      </c>
      <c r="F97" s="44">
        <v>21245</v>
      </c>
      <c r="G97" s="21">
        <f t="shared" si="7"/>
        <v>1958</v>
      </c>
      <c r="H97" s="4">
        <f t="shared" si="10"/>
        <v>68</v>
      </c>
      <c r="I97" s="3" t="s">
        <v>27</v>
      </c>
      <c r="J97" s="3"/>
      <c r="K97" s="4" t="s">
        <v>1932</v>
      </c>
      <c r="L97" s="5"/>
      <c r="M97" s="5" t="s">
        <v>2215</v>
      </c>
      <c r="O97" s="4" t="s">
        <v>60</v>
      </c>
      <c r="P97" s="4">
        <v>164</v>
      </c>
      <c r="Q97" s="4">
        <v>42</v>
      </c>
      <c r="R97" s="4">
        <v>96</v>
      </c>
      <c r="V97" s="6" t="s">
        <v>2216</v>
      </c>
    </row>
    <row r="98" spans="1:22" s="4" customFormat="1">
      <c r="A98" s="3"/>
      <c r="B98" s="4" t="s">
        <v>1228</v>
      </c>
      <c r="C98" s="4" t="s">
        <v>2217</v>
      </c>
      <c r="E98" s="4" t="s">
        <v>40</v>
      </c>
      <c r="F98" s="44">
        <v>17442</v>
      </c>
      <c r="G98" s="21">
        <f t="shared" si="7"/>
        <v>1947</v>
      </c>
      <c r="H98" s="4">
        <f t="shared" si="10"/>
        <v>79</v>
      </c>
      <c r="I98" s="3"/>
      <c r="J98" s="3" t="s">
        <v>27</v>
      </c>
      <c r="K98" s="4" t="s">
        <v>1919</v>
      </c>
      <c r="L98" s="5"/>
      <c r="M98" s="5" t="s">
        <v>2218</v>
      </c>
      <c r="O98" s="4" t="s">
        <v>60</v>
      </c>
      <c r="P98" s="4">
        <v>155</v>
      </c>
      <c r="Q98" s="4">
        <v>30</v>
      </c>
      <c r="R98" s="4">
        <v>80</v>
      </c>
      <c r="V98" s="6" t="s">
        <v>2219</v>
      </c>
    </row>
    <row r="99" spans="1:22" s="4" customFormat="1" hidden="1">
      <c r="A99" s="3"/>
      <c r="B99" s="4" t="s">
        <v>1228</v>
      </c>
      <c r="C99" s="4" t="s">
        <v>2220</v>
      </c>
      <c r="E99" s="64" t="s">
        <v>2374</v>
      </c>
      <c r="F99" s="44">
        <v>27249</v>
      </c>
      <c r="G99" s="21">
        <f t="shared" si="7"/>
        <v>1974</v>
      </c>
      <c r="H99" s="4">
        <f t="shared" si="10"/>
        <v>52</v>
      </c>
      <c r="I99" s="3"/>
      <c r="J99" s="3" t="s">
        <v>27</v>
      </c>
      <c r="K99" s="4" t="s">
        <v>1919</v>
      </c>
      <c r="L99" s="5"/>
      <c r="M99" s="5" t="s">
        <v>2221</v>
      </c>
      <c r="O99" s="4" t="s">
        <v>146</v>
      </c>
      <c r="P99" s="4">
        <v>160</v>
      </c>
      <c r="Q99" s="4">
        <v>56</v>
      </c>
      <c r="R99" s="4">
        <v>80</v>
      </c>
      <c r="V99" s="6" t="s">
        <v>2222</v>
      </c>
    </row>
    <row r="100" spans="1:22" s="4" customFormat="1" hidden="1">
      <c r="A100" s="3"/>
      <c r="B100" s="4" t="s">
        <v>1228</v>
      </c>
      <c r="C100" s="4" t="s">
        <v>2223</v>
      </c>
      <c r="E100" s="64" t="s">
        <v>2374</v>
      </c>
      <c r="F100" s="4" t="s">
        <v>2224</v>
      </c>
      <c r="G100" s="21" t="str">
        <f t="shared" ref="G100:G103" si="12">RIGHT(F100,4)</f>
        <v>1979</v>
      </c>
      <c r="H100" s="4">
        <f t="shared" si="10"/>
        <v>47</v>
      </c>
      <c r="I100" s="3"/>
      <c r="J100" s="3" t="s">
        <v>27</v>
      </c>
      <c r="K100" s="4" t="s">
        <v>1919</v>
      </c>
      <c r="L100" s="50" t="s">
        <v>2225</v>
      </c>
      <c r="M100" s="5" t="s">
        <v>2226</v>
      </c>
      <c r="O100" s="4" t="s">
        <v>87</v>
      </c>
      <c r="P100" s="4">
        <v>160</v>
      </c>
      <c r="Q100" s="4">
        <v>53</v>
      </c>
      <c r="R100" s="4">
        <v>80</v>
      </c>
      <c r="V100" s="6" t="s">
        <v>2194</v>
      </c>
    </row>
    <row r="101" spans="1:22" s="4" customFormat="1" hidden="1">
      <c r="A101" s="3"/>
      <c r="B101" s="4" t="s">
        <v>1228</v>
      </c>
      <c r="C101" s="4" t="s">
        <v>2227</v>
      </c>
      <c r="E101" s="64" t="s">
        <v>2374</v>
      </c>
      <c r="F101" s="4" t="s">
        <v>2228</v>
      </c>
      <c r="G101" s="21" t="str">
        <f t="shared" si="12"/>
        <v>1977</v>
      </c>
      <c r="H101" s="4">
        <f t="shared" si="10"/>
        <v>49</v>
      </c>
      <c r="I101" s="3"/>
      <c r="J101" s="3" t="s">
        <v>27</v>
      </c>
      <c r="K101" s="4" t="s">
        <v>1919</v>
      </c>
      <c r="L101" s="50" t="s">
        <v>2229</v>
      </c>
      <c r="M101" s="5" t="s">
        <v>2230</v>
      </c>
      <c r="O101" s="4" t="s">
        <v>34</v>
      </c>
      <c r="P101" s="4">
        <v>165</v>
      </c>
      <c r="Q101" s="4">
        <v>63</v>
      </c>
      <c r="R101" s="4">
        <v>87</v>
      </c>
      <c r="V101" s="6" t="s">
        <v>2231</v>
      </c>
    </row>
    <row r="102" spans="1:22" s="4" customFormat="1" hidden="1">
      <c r="A102" s="3"/>
      <c r="B102" s="4" t="s">
        <v>1228</v>
      </c>
      <c r="C102" s="4" t="s">
        <v>2232</v>
      </c>
      <c r="E102" s="64" t="s">
        <v>2374</v>
      </c>
      <c r="F102" s="44">
        <v>24473</v>
      </c>
      <c r="G102" s="21">
        <f t="shared" si="7"/>
        <v>1967</v>
      </c>
      <c r="H102" s="4">
        <f t="shared" si="10"/>
        <v>59</v>
      </c>
      <c r="I102" s="3"/>
      <c r="J102" s="3" t="s">
        <v>27</v>
      </c>
      <c r="K102" s="4" t="s">
        <v>1919</v>
      </c>
      <c r="L102" s="50" t="s">
        <v>2233</v>
      </c>
      <c r="M102" s="5" t="s">
        <v>2234</v>
      </c>
      <c r="O102" s="4" t="s">
        <v>87</v>
      </c>
      <c r="P102" s="4">
        <v>155</v>
      </c>
      <c r="Q102" s="4">
        <v>35</v>
      </c>
      <c r="R102" s="4">
        <v>80</v>
      </c>
      <c r="V102" s="6" t="s">
        <v>2235</v>
      </c>
    </row>
    <row r="103" spans="1:22" s="4" customFormat="1" hidden="1">
      <c r="A103" s="3"/>
      <c r="B103" s="4" t="s">
        <v>1228</v>
      </c>
      <c r="C103" s="4" t="s">
        <v>2236</v>
      </c>
      <c r="E103" s="64" t="s">
        <v>2374</v>
      </c>
      <c r="F103" s="4" t="s">
        <v>2237</v>
      </c>
      <c r="G103" s="21" t="str">
        <f t="shared" si="12"/>
        <v>1976</v>
      </c>
      <c r="H103" s="4">
        <f t="shared" si="10"/>
        <v>50</v>
      </c>
      <c r="I103" s="3" t="s">
        <v>27</v>
      </c>
      <c r="J103" s="3"/>
      <c r="K103" s="4" t="s">
        <v>1919</v>
      </c>
      <c r="L103" s="5"/>
      <c r="M103" s="5" t="s">
        <v>2238</v>
      </c>
      <c r="O103" s="4" t="s">
        <v>87</v>
      </c>
      <c r="P103" s="4">
        <v>155</v>
      </c>
      <c r="Q103" s="4">
        <v>51</v>
      </c>
      <c r="R103" s="4">
        <v>80</v>
      </c>
      <c r="V103" s="6" t="s">
        <v>2239</v>
      </c>
    </row>
    <row r="104" spans="1:22" s="4" customFormat="1" hidden="1">
      <c r="A104" s="3"/>
      <c r="B104" s="4" t="s">
        <v>1228</v>
      </c>
      <c r="C104" s="4" t="s">
        <v>2240</v>
      </c>
      <c r="E104" s="64" t="s">
        <v>2374</v>
      </c>
      <c r="F104" s="44">
        <v>28157</v>
      </c>
      <c r="G104" s="21">
        <f t="shared" ref="G104:G143" si="13">YEAR(F104)</f>
        <v>1977</v>
      </c>
      <c r="H104" s="4">
        <f t="shared" si="10"/>
        <v>49</v>
      </c>
      <c r="I104" s="3"/>
      <c r="J104" s="3" t="s">
        <v>27</v>
      </c>
      <c r="K104" s="4" t="s">
        <v>1919</v>
      </c>
      <c r="L104" s="5"/>
      <c r="M104" s="5" t="s">
        <v>2241</v>
      </c>
      <c r="O104" s="4" t="s">
        <v>263</v>
      </c>
      <c r="P104" s="4">
        <v>155</v>
      </c>
      <c r="Q104" s="4">
        <v>76</v>
      </c>
      <c r="R104" s="4">
        <v>80</v>
      </c>
      <c r="V104" s="6" t="s">
        <v>2242</v>
      </c>
    </row>
    <row r="105" spans="1:22" s="4" customFormat="1" hidden="1">
      <c r="A105" s="3"/>
      <c r="B105" s="4" t="s">
        <v>1228</v>
      </c>
      <c r="C105" s="4" t="s">
        <v>1203</v>
      </c>
      <c r="E105" s="64" t="s">
        <v>2374</v>
      </c>
      <c r="F105" s="44">
        <v>27186</v>
      </c>
      <c r="G105" s="21">
        <f t="shared" si="13"/>
        <v>1974</v>
      </c>
      <c r="H105" s="4">
        <f t="shared" si="10"/>
        <v>52</v>
      </c>
      <c r="I105" s="3"/>
      <c r="J105" s="3" t="s">
        <v>27</v>
      </c>
      <c r="K105" s="4" t="s">
        <v>1919</v>
      </c>
      <c r="L105" s="50" t="s">
        <v>2243</v>
      </c>
      <c r="M105" s="5" t="s">
        <v>2244</v>
      </c>
      <c r="O105" s="4" t="s">
        <v>113</v>
      </c>
      <c r="P105" s="4">
        <v>158</v>
      </c>
      <c r="Q105" s="4">
        <v>50</v>
      </c>
      <c r="R105" s="4">
        <v>80</v>
      </c>
      <c r="V105" s="6" t="s">
        <v>2245</v>
      </c>
    </row>
    <row r="106" spans="1:22" s="4" customFormat="1">
      <c r="A106" s="3"/>
      <c r="B106" s="4" t="s">
        <v>1228</v>
      </c>
      <c r="C106" s="4" t="s">
        <v>2246</v>
      </c>
      <c r="E106" s="64" t="s">
        <v>40</v>
      </c>
      <c r="F106" s="4" t="s">
        <v>2247</v>
      </c>
      <c r="G106" s="21" t="str">
        <f t="shared" ref="G106:G107" si="14">RIGHT(F106,4)</f>
        <v>1952</v>
      </c>
      <c r="H106" s="4">
        <f t="shared" si="10"/>
        <v>74</v>
      </c>
      <c r="I106" s="3"/>
      <c r="J106" s="3" t="s">
        <v>27</v>
      </c>
      <c r="K106" s="4" t="s">
        <v>1932</v>
      </c>
      <c r="L106" s="5"/>
      <c r="M106" s="5" t="s">
        <v>2248</v>
      </c>
      <c r="O106" s="4" t="s">
        <v>149</v>
      </c>
      <c r="P106" s="4">
        <v>155</v>
      </c>
      <c r="Q106" s="4">
        <v>40</v>
      </c>
      <c r="R106" s="4">
        <v>76</v>
      </c>
      <c r="V106" s="6" t="s">
        <v>2249</v>
      </c>
    </row>
    <row r="107" spans="1:22" s="4" customFormat="1">
      <c r="A107" s="3"/>
      <c r="B107" s="4" t="s">
        <v>1228</v>
      </c>
      <c r="C107" s="4" t="s">
        <v>105</v>
      </c>
      <c r="E107" s="64" t="s">
        <v>40</v>
      </c>
      <c r="F107" s="4" t="s">
        <v>2250</v>
      </c>
      <c r="G107" s="21" t="str">
        <f t="shared" si="14"/>
        <v>1958</v>
      </c>
      <c r="H107" s="4">
        <f t="shared" si="10"/>
        <v>68</v>
      </c>
      <c r="I107" s="3"/>
      <c r="J107" s="3" t="s">
        <v>27</v>
      </c>
      <c r="K107" s="4" t="s">
        <v>1932</v>
      </c>
      <c r="L107" s="50" t="s">
        <v>2251</v>
      </c>
      <c r="M107" s="5" t="s">
        <v>2252</v>
      </c>
      <c r="O107" s="4" t="s">
        <v>104</v>
      </c>
      <c r="P107" s="4">
        <v>149</v>
      </c>
      <c r="Q107" s="4">
        <v>37</v>
      </c>
      <c r="R107" s="4">
        <v>76</v>
      </c>
      <c r="V107" s="6" t="s">
        <v>2253</v>
      </c>
    </row>
    <row r="108" spans="1:22" s="4" customFormat="1" hidden="1">
      <c r="A108" s="3"/>
      <c r="B108" s="4" t="s">
        <v>1228</v>
      </c>
      <c r="C108" s="4" t="s">
        <v>2254</v>
      </c>
      <c r="E108" s="64" t="s">
        <v>2374</v>
      </c>
      <c r="F108" s="44">
        <v>26827</v>
      </c>
      <c r="G108" s="21">
        <f t="shared" si="13"/>
        <v>1973</v>
      </c>
      <c r="H108" s="4">
        <f t="shared" si="10"/>
        <v>53</v>
      </c>
      <c r="I108" s="3"/>
      <c r="J108" s="3" t="s">
        <v>27</v>
      </c>
      <c r="K108" s="4" t="s">
        <v>1932</v>
      </c>
      <c r="L108" s="5"/>
      <c r="M108" s="5" t="s">
        <v>2255</v>
      </c>
      <c r="O108" s="4" t="s">
        <v>60</v>
      </c>
      <c r="P108" s="4">
        <v>152</v>
      </c>
      <c r="Q108" s="4">
        <v>55</v>
      </c>
      <c r="R108" s="4">
        <v>74</v>
      </c>
      <c r="V108" s="6" t="s">
        <v>2256</v>
      </c>
    </row>
    <row r="109" spans="1:22" s="4" customFormat="1">
      <c r="A109" s="3"/>
      <c r="B109" s="4" t="s">
        <v>1228</v>
      </c>
      <c r="C109" s="4" t="s">
        <v>2257</v>
      </c>
      <c r="E109" s="64" t="s">
        <v>40</v>
      </c>
      <c r="F109" s="4" t="s">
        <v>2258</v>
      </c>
      <c r="G109" s="21" t="str">
        <f>RIGHT(F109,4)</f>
        <v>1965</v>
      </c>
      <c r="H109" s="4">
        <f t="shared" si="10"/>
        <v>61</v>
      </c>
      <c r="I109" s="3"/>
      <c r="J109" s="3"/>
      <c r="K109" s="4" t="s">
        <v>1932</v>
      </c>
      <c r="L109" s="5"/>
      <c r="M109" s="5" t="s">
        <v>2259</v>
      </c>
      <c r="O109" s="4" t="s">
        <v>288</v>
      </c>
      <c r="P109" s="4">
        <v>167</v>
      </c>
      <c r="Q109" s="4">
        <v>58</v>
      </c>
      <c r="R109" s="4">
        <v>100</v>
      </c>
      <c r="V109" s="6" t="s">
        <v>2260</v>
      </c>
    </row>
    <row r="110" spans="1:22" s="4" customFormat="1">
      <c r="A110" s="3"/>
      <c r="B110" s="4" t="s">
        <v>1228</v>
      </c>
      <c r="C110" s="4" t="s">
        <v>2261</v>
      </c>
      <c r="E110" s="64" t="s">
        <v>40</v>
      </c>
      <c r="F110" s="44">
        <v>23803</v>
      </c>
      <c r="G110" s="21">
        <f>YEAR(F110)</f>
        <v>1965</v>
      </c>
      <c r="H110" s="4">
        <f t="shared" si="10"/>
        <v>61</v>
      </c>
      <c r="I110" s="3" t="s">
        <v>27</v>
      </c>
      <c r="J110" s="3"/>
      <c r="K110" s="4" t="s">
        <v>1932</v>
      </c>
      <c r="L110" s="5"/>
      <c r="M110" s="5" t="s">
        <v>2262</v>
      </c>
      <c r="O110" s="4" t="s">
        <v>263</v>
      </c>
      <c r="P110" s="4">
        <v>155</v>
      </c>
      <c r="Q110" s="4">
        <v>46</v>
      </c>
      <c r="R110" s="4">
        <v>80</v>
      </c>
      <c r="V110" s="6" t="s">
        <v>1065</v>
      </c>
    </row>
    <row r="111" spans="1:22" s="4" customFormat="1">
      <c r="A111" s="3"/>
      <c r="B111" s="4" t="s">
        <v>1228</v>
      </c>
      <c r="C111" s="4" t="s">
        <v>2263</v>
      </c>
      <c r="E111" s="64" t="s">
        <v>40</v>
      </c>
      <c r="F111" s="4" t="s">
        <v>2264</v>
      </c>
      <c r="G111" s="21" t="str">
        <f>RIGHT(F111,4)</f>
        <v>1965</v>
      </c>
      <c r="H111" s="4">
        <f t="shared" si="10"/>
        <v>61</v>
      </c>
      <c r="I111" s="3" t="s">
        <v>27</v>
      </c>
      <c r="J111" s="3"/>
      <c r="K111" s="4" t="s">
        <v>1919</v>
      </c>
      <c r="L111" s="50" t="s">
        <v>2265</v>
      </c>
      <c r="M111" s="5" t="s">
        <v>2266</v>
      </c>
      <c r="O111" s="4" t="s">
        <v>333</v>
      </c>
      <c r="P111" s="4">
        <v>169</v>
      </c>
      <c r="Q111" s="4">
        <v>63</v>
      </c>
      <c r="R111" s="4">
        <v>80</v>
      </c>
      <c r="V111" s="6" t="s">
        <v>2267</v>
      </c>
    </row>
    <row r="112" spans="1:22" s="4" customFormat="1">
      <c r="A112" s="3"/>
      <c r="B112" s="4" t="s">
        <v>1228</v>
      </c>
      <c r="C112" s="4" t="s">
        <v>2268</v>
      </c>
      <c r="E112" s="64" t="s">
        <v>40</v>
      </c>
      <c r="F112" s="44">
        <v>19088</v>
      </c>
      <c r="G112" s="21">
        <f t="shared" si="13"/>
        <v>1952</v>
      </c>
      <c r="H112" s="4">
        <f t="shared" si="10"/>
        <v>74</v>
      </c>
      <c r="I112" s="3"/>
      <c r="J112" s="3" t="s">
        <v>27</v>
      </c>
      <c r="K112" s="4" t="s">
        <v>1919</v>
      </c>
      <c r="L112" s="5"/>
      <c r="M112" s="5" t="s">
        <v>2269</v>
      </c>
      <c r="O112" s="4" t="s">
        <v>280</v>
      </c>
      <c r="P112" s="4">
        <v>147</v>
      </c>
      <c r="Q112" s="4">
        <v>34</v>
      </c>
      <c r="R112" s="4">
        <v>80</v>
      </c>
      <c r="V112" s="6" t="s">
        <v>2270</v>
      </c>
    </row>
    <row r="113" spans="1:22" s="4" customFormat="1">
      <c r="A113" s="3"/>
      <c r="B113" s="4" t="s">
        <v>1228</v>
      </c>
      <c r="C113" s="4" t="s">
        <v>2271</v>
      </c>
      <c r="E113" s="64" t="s">
        <v>40</v>
      </c>
      <c r="F113" s="44">
        <v>23651</v>
      </c>
      <c r="G113" s="21">
        <f t="shared" si="13"/>
        <v>1964</v>
      </c>
      <c r="H113" s="4">
        <f t="shared" si="10"/>
        <v>62</v>
      </c>
      <c r="I113" s="3" t="s">
        <v>27</v>
      </c>
      <c r="J113" s="3"/>
      <c r="K113" s="4" t="s">
        <v>1919</v>
      </c>
      <c r="L113" s="5"/>
      <c r="M113" s="5" t="s">
        <v>2272</v>
      </c>
      <c r="O113" s="4" t="s">
        <v>60</v>
      </c>
      <c r="P113" s="4">
        <v>161</v>
      </c>
      <c r="Q113" s="4">
        <v>51</v>
      </c>
      <c r="R113" s="4">
        <v>75</v>
      </c>
      <c r="V113" s="6" t="s">
        <v>2273</v>
      </c>
    </row>
    <row r="114" spans="1:22" s="4" customFormat="1">
      <c r="A114" s="3"/>
      <c r="B114" s="4" t="s">
        <v>1228</v>
      </c>
      <c r="C114" s="4" t="s">
        <v>2240</v>
      </c>
      <c r="E114" s="64" t="s">
        <v>40</v>
      </c>
      <c r="F114" s="44">
        <v>19948</v>
      </c>
      <c r="G114" s="21">
        <f t="shared" si="13"/>
        <v>1954</v>
      </c>
      <c r="H114" s="4">
        <f t="shared" si="10"/>
        <v>72</v>
      </c>
      <c r="I114" s="3"/>
      <c r="J114" s="3" t="s">
        <v>27</v>
      </c>
      <c r="K114" s="4" t="s">
        <v>1932</v>
      </c>
      <c r="L114" s="5"/>
      <c r="M114" s="5" t="s">
        <v>2274</v>
      </c>
      <c r="O114" s="4" t="s">
        <v>113</v>
      </c>
      <c r="P114" s="4">
        <v>160</v>
      </c>
      <c r="Q114" s="4">
        <v>52</v>
      </c>
      <c r="R114" s="4">
        <v>76</v>
      </c>
      <c r="V114" s="6" t="s">
        <v>2275</v>
      </c>
    </row>
    <row r="115" spans="1:22" s="4" customFormat="1">
      <c r="A115" s="3"/>
      <c r="B115" s="4" t="s">
        <v>1228</v>
      </c>
      <c r="C115" s="4" t="s">
        <v>2276</v>
      </c>
      <c r="E115" s="64" t="s">
        <v>40</v>
      </c>
      <c r="F115" s="44">
        <v>23468</v>
      </c>
      <c r="G115" s="21">
        <f t="shared" si="13"/>
        <v>1964</v>
      </c>
      <c r="H115" s="4">
        <f t="shared" si="10"/>
        <v>62</v>
      </c>
      <c r="I115" s="3"/>
      <c r="J115" s="3" t="s">
        <v>27</v>
      </c>
      <c r="K115" s="4" t="s">
        <v>1932</v>
      </c>
      <c r="L115" s="5"/>
      <c r="M115" s="5" t="s">
        <v>2277</v>
      </c>
      <c r="O115" s="4" t="s">
        <v>570</v>
      </c>
      <c r="P115" s="4">
        <v>155</v>
      </c>
      <c r="Q115" s="4">
        <v>62</v>
      </c>
      <c r="R115" s="4">
        <v>85</v>
      </c>
      <c r="V115" s="6" t="s">
        <v>2278</v>
      </c>
    </row>
    <row r="116" spans="1:22" s="4" customFormat="1">
      <c r="A116" s="3"/>
      <c r="B116" s="4" t="s">
        <v>1228</v>
      </c>
      <c r="C116" s="4" t="s">
        <v>2279</v>
      </c>
      <c r="E116" s="64" t="s">
        <v>40</v>
      </c>
      <c r="F116" s="44">
        <v>22197</v>
      </c>
      <c r="G116" s="21">
        <f t="shared" si="13"/>
        <v>1960</v>
      </c>
      <c r="H116" s="4">
        <f t="shared" si="10"/>
        <v>66</v>
      </c>
      <c r="I116" s="3" t="s">
        <v>27</v>
      </c>
      <c r="J116" s="3"/>
      <c r="K116" s="4" t="s">
        <v>1932</v>
      </c>
      <c r="L116" s="5"/>
      <c r="M116" s="5" t="s">
        <v>2280</v>
      </c>
      <c r="O116" s="4" t="s">
        <v>34</v>
      </c>
      <c r="P116" s="4">
        <v>165</v>
      </c>
      <c r="Q116" s="4">
        <v>45</v>
      </c>
      <c r="R116" s="4">
        <v>94</v>
      </c>
      <c r="V116" s="6" t="s">
        <v>2281</v>
      </c>
    </row>
    <row r="117" spans="1:22" s="4" customFormat="1">
      <c r="A117" s="3"/>
      <c r="B117" s="4" t="s">
        <v>1228</v>
      </c>
      <c r="C117" s="4" t="s">
        <v>2282</v>
      </c>
      <c r="E117" s="64" t="s">
        <v>40</v>
      </c>
      <c r="F117" s="44">
        <v>22621</v>
      </c>
      <c r="G117" s="21">
        <f t="shared" si="13"/>
        <v>1961</v>
      </c>
      <c r="H117" s="4">
        <f t="shared" si="10"/>
        <v>65</v>
      </c>
      <c r="I117" s="3"/>
      <c r="J117" s="3" t="s">
        <v>27</v>
      </c>
      <c r="K117" s="4" t="s">
        <v>1932</v>
      </c>
      <c r="L117" s="5"/>
      <c r="M117" s="5" t="s">
        <v>2283</v>
      </c>
      <c r="O117" s="4" t="s">
        <v>284</v>
      </c>
      <c r="R117" s="4">
        <v>92</v>
      </c>
      <c r="V117" s="6" t="s">
        <v>2284</v>
      </c>
    </row>
    <row r="118" spans="1:22" s="4" customFormat="1">
      <c r="A118" s="3"/>
      <c r="B118" s="4" t="s">
        <v>1228</v>
      </c>
      <c r="C118" s="4" t="s">
        <v>2285</v>
      </c>
      <c r="E118" s="4" t="s">
        <v>40</v>
      </c>
      <c r="F118" s="44">
        <v>23377</v>
      </c>
      <c r="G118" s="21">
        <f t="shared" si="13"/>
        <v>1964</v>
      </c>
      <c r="H118" s="4">
        <f t="shared" si="10"/>
        <v>62</v>
      </c>
      <c r="I118" s="3"/>
      <c r="J118" s="3" t="s">
        <v>27</v>
      </c>
      <c r="K118" s="4" t="s">
        <v>1932</v>
      </c>
      <c r="L118" s="5"/>
      <c r="M118" s="5" t="s">
        <v>2286</v>
      </c>
      <c r="O118" s="4" t="s">
        <v>288</v>
      </c>
      <c r="P118" s="4">
        <v>152</v>
      </c>
      <c r="Q118" s="4">
        <v>37</v>
      </c>
      <c r="R118" s="4">
        <v>81</v>
      </c>
      <c r="V118" s="6" t="s">
        <v>2287</v>
      </c>
    </row>
    <row r="119" spans="1:22" s="4" customFormat="1" hidden="1">
      <c r="A119" s="3"/>
      <c r="B119" s="4" t="s">
        <v>1228</v>
      </c>
      <c r="C119" s="4" t="s">
        <v>2288</v>
      </c>
      <c r="E119" s="64" t="s">
        <v>2374</v>
      </c>
      <c r="F119" s="44">
        <v>26397</v>
      </c>
      <c r="G119" s="21">
        <f t="shared" si="13"/>
        <v>1972</v>
      </c>
      <c r="H119" s="4">
        <f t="shared" si="10"/>
        <v>54</v>
      </c>
      <c r="I119" s="3"/>
      <c r="J119" s="3" t="s">
        <v>27</v>
      </c>
      <c r="K119" s="4" t="s">
        <v>1932</v>
      </c>
      <c r="L119" s="5"/>
      <c r="M119" s="5" t="s">
        <v>2289</v>
      </c>
      <c r="O119" s="4" t="s">
        <v>87</v>
      </c>
      <c r="P119" s="4">
        <v>157</v>
      </c>
      <c r="Q119" s="4">
        <v>54</v>
      </c>
      <c r="R119" s="4">
        <v>87</v>
      </c>
      <c r="V119" s="6" t="s">
        <v>2290</v>
      </c>
    </row>
    <row r="120" spans="1:22" s="4" customFormat="1">
      <c r="A120" s="3"/>
      <c r="B120" s="4" t="s">
        <v>1228</v>
      </c>
      <c r="C120" s="4" t="s">
        <v>2291</v>
      </c>
      <c r="E120" s="4" t="s">
        <v>40</v>
      </c>
      <c r="F120" s="44">
        <v>14279</v>
      </c>
      <c r="G120" s="21">
        <f t="shared" si="13"/>
        <v>1939</v>
      </c>
      <c r="H120" s="4">
        <f t="shared" si="10"/>
        <v>87</v>
      </c>
      <c r="I120" s="3" t="s">
        <v>27</v>
      </c>
      <c r="J120" s="3"/>
      <c r="K120" s="4" t="s">
        <v>1932</v>
      </c>
      <c r="L120" s="5"/>
      <c r="M120" s="5" t="s">
        <v>2292</v>
      </c>
      <c r="O120" s="4" t="s">
        <v>2293</v>
      </c>
      <c r="P120" s="4">
        <v>155</v>
      </c>
      <c r="Q120" s="4">
        <v>51</v>
      </c>
      <c r="R120" s="4">
        <v>58</v>
      </c>
      <c r="V120" s="6" t="s">
        <v>2294</v>
      </c>
    </row>
    <row r="121" spans="1:22" s="4" customFormat="1">
      <c r="A121" s="3"/>
      <c r="B121" s="4" t="s">
        <v>1228</v>
      </c>
      <c r="C121" s="4" t="s">
        <v>656</v>
      </c>
      <c r="E121" s="4" t="s">
        <v>40</v>
      </c>
      <c r="F121" s="44">
        <v>14642</v>
      </c>
      <c r="G121" s="21">
        <f t="shared" si="13"/>
        <v>1940</v>
      </c>
      <c r="H121" s="4">
        <f t="shared" si="10"/>
        <v>86</v>
      </c>
      <c r="I121" s="3"/>
      <c r="J121" s="3" t="s">
        <v>27</v>
      </c>
      <c r="K121" s="4" t="s">
        <v>1932</v>
      </c>
      <c r="L121" s="5"/>
      <c r="M121" s="5" t="s">
        <v>2295</v>
      </c>
      <c r="O121" s="4" t="s">
        <v>284</v>
      </c>
      <c r="P121" s="4">
        <v>150</v>
      </c>
      <c r="Q121" s="4">
        <v>52</v>
      </c>
      <c r="R121" s="4">
        <v>75</v>
      </c>
      <c r="V121" s="6" t="s">
        <v>2296</v>
      </c>
    </row>
    <row r="122" spans="1:22" s="4" customFormat="1">
      <c r="A122" s="3"/>
      <c r="B122" s="4" t="s">
        <v>1228</v>
      </c>
      <c r="C122" s="4" t="s">
        <v>2297</v>
      </c>
      <c r="E122" s="4" t="s">
        <v>40</v>
      </c>
      <c r="F122" s="4" t="s">
        <v>2298</v>
      </c>
      <c r="G122" s="21" t="str">
        <f>RIGHT(F122,4)</f>
        <v>1952</v>
      </c>
      <c r="H122" s="4">
        <f t="shared" si="10"/>
        <v>74</v>
      </c>
      <c r="I122" s="3"/>
      <c r="J122" s="3" t="s">
        <v>27</v>
      </c>
      <c r="K122" s="4" t="s">
        <v>1919</v>
      </c>
      <c r="L122" s="5"/>
      <c r="M122" s="5" t="s">
        <v>2299</v>
      </c>
      <c r="O122" s="4" t="s">
        <v>570</v>
      </c>
      <c r="P122" s="4">
        <v>146</v>
      </c>
      <c r="Q122" s="4">
        <v>49</v>
      </c>
      <c r="R122" s="4">
        <v>80</v>
      </c>
      <c r="V122" s="6" t="s">
        <v>2300</v>
      </c>
    </row>
    <row r="123" spans="1:22" s="4" customFormat="1">
      <c r="A123" s="3"/>
      <c r="B123" s="4" t="s">
        <v>1228</v>
      </c>
      <c r="C123" s="4" t="s">
        <v>2301</v>
      </c>
      <c r="E123" s="4" t="s">
        <v>40</v>
      </c>
      <c r="F123" s="44">
        <v>23171</v>
      </c>
      <c r="G123" s="21">
        <f t="shared" si="13"/>
        <v>1963</v>
      </c>
      <c r="H123" s="4">
        <f t="shared" si="10"/>
        <v>63</v>
      </c>
      <c r="I123" s="3" t="s">
        <v>27</v>
      </c>
      <c r="J123" s="3"/>
      <c r="K123" s="4" t="s">
        <v>1919</v>
      </c>
      <c r="L123" s="5"/>
      <c r="M123" s="5" t="s">
        <v>2302</v>
      </c>
      <c r="O123" s="4" t="s">
        <v>2303</v>
      </c>
      <c r="P123" s="4">
        <v>170</v>
      </c>
      <c r="Q123" s="4">
        <v>46</v>
      </c>
      <c r="R123" s="4">
        <v>100</v>
      </c>
      <c r="V123" s="6" t="s">
        <v>2304</v>
      </c>
    </row>
    <row r="124" spans="1:22" s="4" customFormat="1" hidden="1">
      <c r="A124" s="3"/>
      <c r="B124" s="4" t="s">
        <v>1228</v>
      </c>
      <c r="C124" s="4" t="s">
        <v>2305</v>
      </c>
      <c r="E124" s="64" t="s">
        <v>2374</v>
      </c>
      <c r="F124" s="44">
        <v>29347</v>
      </c>
      <c r="G124" s="21">
        <f t="shared" si="13"/>
        <v>1980</v>
      </c>
      <c r="H124" s="4">
        <f t="shared" si="10"/>
        <v>46</v>
      </c>
      <c r="I124" s="3"/>
      <c r="J124" s="3" t="s">
        <v>27</v>
      </c>
      <c r="K124" s="4" t="s">
        <v>1932</v>
      </c>
      <c r="L124" s="5"/>
      <c r="M124" s="5" t="s">
        <v>2306</v>
      </c>
      <c r="O124" s="4" t="s">
        <v>504</v>
      </c>
      <c r="P124" s="4">
        <v>152</v>
      </c>
      <c r="Q124" s="4">
        <v>56</v>
      </c>
      <c r="R124" s="4">
        <v>71</v>
      </c>
      <c r="V124" s="6" t="s">
        <v>2307</v>
      </c>
    </row>
    <row r="125" spans="1:22" s="4" customFormat="1">
      <c r="A125" s="3"/>
      <c r="B125" s="4" t="s">
        <v>1228</v>
      </c>
      <c r="C125" s="4" t="s">
        <v>2308</v>
      </c>
      <c r="E125" s="4" t="s">
        <v>40</v>
      </c>
      <c r="F125" s="44">
        <v>20090</v>
      </c>
      <c r="G125" s="21">
        <f t="shared" si="13"/>
        <v>1955</v>
      </c>
      <c r="H125" s="4">
        <f t="shared" si="10"/>
        <v>71</v>
      </c>
      <c r="I125" s="3" t="s">
        <v>27</v>
      </c>
      <c r="J125" s="3"/>
      <c r="K125" s="4" t="s">
        <v>1932</v>
      </c>
      <c r="L125" s="5"/>
      <c r="M125" s="5" t="s">
        <v>2309</v>
      </c>
      <c r="O125" s="4" t="s">
        <v>113</v>
      </c>
      <c r="P125" s="4">
        <v>155</v>
      </c>
      <c r="Q125" s="4">
        <v>49</v>
      </c>
      <c r="R125" s="4">
        <v>96</v>
      </c>
      <c r="V125" s="6" t="s">
        <v>2310</v>
      </c>
    </row>
    <row r="126" spans="1:22" s="4" customFormat="1" hidden="1">
      <c r="A126" s="3"/>
      <c r="B126" s="4" t="s">
        <v>1228</v>
      </c>
      <c r="C126" s="4" t="s">
        <v>2311</v>
      </c>
      <c r="E126" s="64" t="s">
        <v>2374</v>
      </c>
      <c r="F126" s="44">
        <v>24844</v>
      </c>
      <c r="G126" s="21">
        <f t="shared" si="13"/>
        <v>1968</v>
      </c>
      <c r="H126" s="4">
        <f t="shared" si="10"/>
        <v>58</v>
      </c>
      <c r="I126" s="3" t="s">
        <v>27</v>
      </c>
      <c r="J126" s="3"/>
      <c r="K126" s="4" t="s">
        <v>1932</v>
      </c>
      <c r="L126" s="5"/>
      <c r="M126" s="5" t="s">
        <v>2312</v>
      </c>
      <c r="O126" s="4" t="s">
        <v>570</v>
      </c>
      <c r="P126" s="4">
        <v>152</v>
      </c>
      <c r="Q126" s="4">
        <v>49</v>
      </c>
      <c r="R126" s="4">
        <v>84</v>
      </c>
      <c r="V126" s="6" t="s">
        <v>2313</v>
      </c>
    </row>
    <row r="127" spans="1:22" s="4" customFormat="1">
      <c r="A127" s="3"/>
      <c r="B127" s="4" t="s">
        <v>1228</v>
      </c>
      <c r="C127" s="4" t="s">
        <v>2314</v>
      </c>
      <c r="E127" s="4" t="s">
        <v>40</v>
      </c>
      <c r="F127" s="44">
        <v>20734</v>
      </c>
      <c r="G127" s="21">
        <f t="shared" si="13"/>
        <v>1956</v>
      </c>
      <c r="H127" s="4">
        <f t="shared" si="10"/>
        <v>70</v>
      </c>
      <c r="I127" s="3" t="s">
        <v>27</v>
      </c>
      <c r="J127" s="3"/>
      <c r="K127" s="4" t="s">
        <v>1932</v>
      </c>
      <c r="L127" s="5"/>
      <c r="M127" s="5" t="s">
        <v>2315</v>
      </c>
      <c r="O127" s="4" t="s">
        <v>284</v>
      </c>
      <c r="P127" s="4">
        <v>160</v>
      </c>
      <c r="Q127" s="4">
        <v>58</v>
      </c>
      <c r="R127" s="4">
        <v>84</v>
      </c>
      <c r="V127" s="6" t="s">
        <v>2316</v>
      </c>
    </row>
    <row r="128" spans="1:22" s="4" customFormat="1">
      <c r="A128" s="3"/>
      <c r="B128" s="4" t="s">
        <v>1228</v>
      </c>
      <c r="C128" s="4" t="s">
        <v>2317</v>
      </c>
      <c r="E128" s="4" t="s">
        <v>40</v>
      </c>
      <c r="F128" s="44">
        <v>14894</v>
      </c>
      <c r="G128" s="21">
        <f t="shared" si="13"/>
        <v>1940</v>
      </c>
      <c r="H128" s="4">
        <f t="shared" si="10"/>
        <v>86</v>
      </c>
      <c r="I128" s="3" t="s">
        <v>27</v>
      </c>
      <c r="J128" s="3"/>
      <c r="K128" s="4" t="s">
        <v>1932</v>
      </c>
      <c r="L128" s="5"/>
      <c r="M128" s="5" t="s">
        <v>2318</v>
      </c>
      <c r="O128" s="4" t="s">
        <v>275</v>
      </c>
      <c r="P128" s="4">
        <v>161</v>
      </c>
      <c r="Q128" s="4">
        <v>49</v>
      </c>
      <c r="R128" s="4">
        <v>72</v>
      </c>
      <c r="V128" s="6" t="s">
        <v>2319</v>
      </c>
    </row>
    <row r="129" spans="1:22" s="4" customFormat="1">
      <c r="A129" s="3"/>
      <c r="B129" s="4" t="s">
        <v>1228</v>
      </c>
      <c r="C129" s="4" t="s">
        <v>2320</v>
      </c>
      <c r="E129" s="4" t="s">
        <v>40</v>
      </c>
      <c r="F129" s="44">
        <v>17354</v>
      </c>
      <c r="G129" s="21">
        <f t="shared" si="13"/>
        <v>1947</v>
      </c>
      <c r="H129" s="4">
        <f t="shared" si="10"/>
        <v>79</v>
      </c>
      <c r="I129" s="3"/>
      <c r="J129" s="3" t="s">
        <v>27</v>
      </c>
      <c r="K129" s="4" t="s">
        <v>1932</v>
      </c>
      <c r="L129" s="5"/>
      <c r="M129" s="5" t="s">
        <v>2321</v>
      </c>
      <c r="O129" s="4" t="s">
        <v>104</v>
      </c>
      <c r="P129" s="4">
        <v>147</v>
      </c>
      <c r="Q129" s="4">
        <v>45</v>
      </c>
      <c r="R129" s="4">
        <v>89</v>
      </c>
      <c r="V129" s="6" t="s">
        <v>2322</v>
      </c>
    </row>
    <row r="130" spans="1:22" s="4" customFormat="1">
      <c r="A130" s="3"/>
      <c r="B130" s="4" t="s">
        <v>1228</v>
      </c>
      <c r="C130" s="4" t="s">
        <v>2323</v>
      </c>
      <c r="E130" s="4" t="s">
        <v>40</v>
      </c>
      <c r="F130" s="4" t="s">
        <v>2324</v>
      </c>
      <c r="G130" s="21" t="str">
        <f t="shared" ref="G130:G134" si="15">RIGHT(F130,4)</f>
        <v>1940</v>
      </c>
      <c r="H130" s="4">
        <f t="shared" si="10"/>
        <v>86</v>
      </c>
      <c r="I130" s="3" t="s">
        <v>27</v>
      </c>
      <c r="J130" s="3"/>
      <c r="K130" s="4" t="s">
        <v>1932</v>
      </c>
      <c r="L130" s="5"/>
      <c r="M130" s="5" t="s">
        <v>2325</v>
      </c>
      <c r="O130" s="4" t="s">
        <v>284</v>
      </c>
      <c r="P130" s="4">
        <v>165</v>
      </c>
      <c r="Q130" s="4">
        <v>39</v>
      </c>
      <c r="R130" s="4">
        <v>84</v>
      </c>
      <c r="V130" s="6" t="s">
        <v>2326</v>
      </c>
    </row>
    <row r="131" spans="1:22" s="4" customFormat="1">
      <c r="A131" s="3"/>
      <c r="B131" s="4" t="s">
        <v>1228</v>
      </c>
      <c r="C131" s="4" t="s">
        <v>2327</v>
      </c>
      <c r="E131" s="4" t="s">
        <v>40</v>
      </c>
      <c r="F131" s="4" t="s">
        <v>2328</v>
      </c>
      <c r="G131" s="21" t="str">
        <f t="shared" si="15"/>
        <v>1953</v>
      </c>
      <c r="H131" s="4">
        <f t="shared" ref="H131:H143" si="16">2026-G131</f>
        <v>73</v>
      </c>
      <c r="I131" s="3"/>
      <c r="J131" s="3" t="s">
        <v>27</v>
      </c>
      <c r="K131" s="4" t="s">
        <v>1919</v>
      </c>
      <c r="L131" s="5"/>
      <c r="M131" s="5" t="s">
        <v>2329</v>
      </c>
      <c r="O131" s="4" t="s">
        <v>2330</v>
      </c>
      <c r="P131" s="4">
        <v>151</v>
      </c>
      <c r="Q131" s="4">
        <v>51</v>
      </c>
      <c r="R131" s="4">
        <v>84</v>
      </c>
      <c r="V131" s="6" t="s">
        <v>2331</v>
      </c>
    </row>
    <row r="132" spans="1:22" s="4" customFormat="1">
      <c r="A132" s="3"/>
      <c r="B132" s="4" t="s">
        <v>1228</v>
      </c>
      <c r="C132" s="4" t="s">
        <v>2332</v>
      </c>
      <c r="E132" s="4" t="s">
        <v>40</v>
      </c>
      <c r="F132" s="4" t="s">
        <v>2333</v>
      </c>
      <c r="G132" s="21" t="str">
        <f t="shared" si="15"/>
        <v>1953</v>
      </c>
      <c r="H132" s="4">
        <f t="shared" si="16"/>
        <v>73</v>
      </c>
      <c r="I132" s="3" t="s">
        <v>27</v>
      </c>
      <c r="J132" s="3"/>
      <c r="K132" s="4" t="s">
        <v>1919</v>
      </c>
      <c r="L132" s="5"/>
      <c r="M132" s="5" t="s">
        <v>2334</v>
      </c>
      <c r="O132" s="4" t="s">
        <v>280</v>
      </c>
      <c r="P132" s="4">
        <v>165</v>
      </c>
      <c r="Q132" s="4">
        <v>53</v>
      </c>
      <c r="R132" s="4">
        <v>60</v>
      </c>
      <c r="V132" s="6" t="s">
        <v>2335</v>
      </c>
    </row>
    <row r="133" spans="1:22" s="4" customFormat="1" hidden="1">
      <c r="A133" s="3"/>
      <c r="B133" s="4" t="s">
        <v>1228</v>
      </c>
      <c r="C133" s="4" t="s">
        <v>2336</v>
      </c>
      <c r="E133" s="4" t="s">
        <v>609</v>
      </c>
      <c r="F133" s="44">
        <v>27093</v>
      </c>
      <c r="G133" s="21">
        <f t="shared" si="13"/>
        <v>1974</v>
      </c>
      <c r="H133" s="4">
        <f t="shared" si="16"/>
        <v>52</v>
      </c>
      <c r="I133" s="3" t="s">
        <v>27</v>
      </c>
      <c r="J133" s="3"/>
      <c r="K133" s="4" t="s">
        <v>1919</v>
      </c>
      <c r="L133" s="5"/>
      <c r="M133" s="5" t="s">
        <v>2337</v>
      </c>
      <c r="P133" s="4">
        <v>155</v>
      </c>
      <c r="Q133" s="4">
        <v>45</v>
      </c>
      <c r="R133" s="4">
        <v>80</v>
      </c>
      <c r="V133" s="6" t="s">
        <v>2338</v>
      </c>
    </row>
    <row r="134" spans="1:22" s="4" customFormat="1" hidden="1">
      <c r="A134" s="3"/>
      <c r="B134" s="4" t="s">
        <v>1228</v>
      </c>
      <c r="C134" s="4" t="s">
        <v>2339</v>
      </c>
      <c r="E134" s="64" t="s">
        <v>2374</v>
      </c>
      <c r="F134" s="4" t="s">
        <v>2340</v>
      </c>
      <c r="G134" s="21" t="str">
        <f t="shared" si="15"/>
        <v>1973</v>
      </c>
      <c r="H134" s="4">
        <f t="shared" si="16"/>
        <v>53</v>
      </c>
      <c r="I134" s="3" t="s">
        <v>27</v>
      </c>
      <c r="J134" s="3"/>
      <c r="K134" s="4" t="s">
        <v>1919</v>
      </c>
      <c r="L134" s="5"/>
      <c r="M134" s="5" t="s">
        <v>2341</v>
      </c>
      <c r="O134" s="4" t="s">
        <v>34</v>
      </c>
      <c r="P134" s="4">
        <v>174</v>
      </c>
      <c r="Q134" s="4">
        <v>62</v>
      </c>
      <c r="R134" s="4">
        <v>80</v>
      </c>
      <c r="V134" s="6" t="s">
        <v>2342</v>
      </c>
    </row>
    <row r="135" spans="1:22" s="4" customFormat="1">
      <c r="A135" s="3"/>
      <c r="B135" s="4" t="s">
        <v>1228</v>
      </c>
      <c r="C135" s="4" t="s">
        <v>2343</v>
      </c>
      <c r="E135" s="4" t="s">
        <v>40</v>
      </c>
      <c r="F135" s="44">
        <v>17899</v>
      </c>
      <c r="G135" s="21">
        <f t="shared" si="13"/>
        <v>1949</v>
      </c>
      <c r="H135" s="4">
        <f t="shared" si="16"/>
        <v>77</v>
      </c>
      <c r="I135" s="3"/>
      <c r="J135" s="3" t="s">
        <v>27</v>
      </c>
      <c r="K135" s="4" t="s">
        <v>1932</v>
      </c>
      <c r="L135" s="50" t="s">
        <v>2344</v>
      </c>
      <c r="M135" s="5" t="s">
        <v>2345</v>
      </c>
      <c r="O135" s="4" t="s">
        <v>284</v>
      </c>
      <c r="V135" s="6" t="s">
        <v>2346</v>
      </c>
    </row>
    <row r="136" spans="1:22" s="4" customFormat="1" hidden="1">
      <c r="A136" s="3"/>
      <c r="B136" s="4" t="s">
        <v>1228</v>
      </c>
      <c r="C136" s="4" t="s">
        <v>2347</v>
      </c>
      <c r="E136" s="64" t="s">
        <v>2374</v>
      </c>
      <c r="F136" s="44">
        <v>38143</v>
      </c>
      <c r="G136" s="21">
        <f t="shared" si="13"/>
        <v>2004</v>
      </c>
      <c r="H136" s="4">
        <f t="shared" si="16"/>
        <v>22</v>
      </c>
      <c r="I136" s="3" t="s">
        <v>27</v>
      </c>
      <c r="J136" s="3"/>
      <c r="K136" s="4" t="s">
        <v>1919</v>
      </c>
      <c r="L136" s="5"/>
      <c r="M136" s="5" t="s">
        <v>2348</v>
      </c>
      <c r="O136" s="4" t="s">
        <v>30</v>
      </c>
      <c r="P136" s="4">
        <v>165</v>
      </c>
      <c r="Q136" s="4">
        <v>67</v>
      </c>
      <c r="R136" s="4">
        <v>76</v>
      </c>
      <c r="V136" s="6" t="s">
        <v>2349</v>
      </c>
    </row>
    <row r="137" spans="1:22" s="4" customFormat="1">
      <c r="A137" s="3"/>
      <c r="B137" s="4" t="s">
        <v>1228</v>
      </c>
      <c r="C137" s="4" t="s">
        <v>2350</v>
      </c>
      <c r="E137" s="4" t="s">
        <v>40</v>
      </c>
      <c r="F137" s="4" t="s">
        <v>2351</v>
      </c>
      <c r="G137" s="21" t="str">
        <f t="shared" ref="G137:G141" si="17">RIGHT(F137,4)</f>
        <v>1966</v>
      </c>
      <c r="H137" s="4">
        <f t="shared" si="16"/>
        <v>60</v>
      </c>
      <c r="I137" s="3"/>
      <c r="J137" s="3" t="s">
        <v>27</v>
      </c>
      <c r="K137" s="4" t="s">
        <v>1919</v>
      </c>
      <c r="L137" s="5"/>
      <c r="M137" s="5" t="s">
        <v>2352</v>
      </c>
      <c r="O137" s="4" t="s">
        <v>143</v>
      </c>
      <c r="P137" s="4">
        <v>155</v>
      </c>
      <c r="Q137" s="4">
        <v>57</v>
      </c>
      <c r="R137" s="4">
        <v>75</v>
      </c>
      <c r="V137" s="6" t="s">
        <v>2353</v>
      </c>
    </row>
    <row r="138" spans="1:22" s="4" customFormat="1">
      <c r="A138" s="3"/>
      <c r="B138" s="4" t="s">
        <v>1228</v>
      </c>
      <c r="C138" s="4" t="s">
        <v>2354</v>
      </c>
      <c r="E138" s="64" t="s">
        <v>40</v>
      </c>
      <c r="F138" s="4" t="s">
        <v>2355</v>
      </c>
      <c r="G138" s="21" t="str">
        <f t="shared" si="17"/>
        <v>1957</v>
      </c>
      <c r="H138" s="4">
        <f t="shared" si="16"/>
        <v>69</v>
      </c>
      <c r="I138" s="3"/>
      <c r="J138" s="3" t="s">
        <v>27</v>
      </c>
      <c r="K138" s="4" t="s">
        <v>1919</v>
      </c>
      <c r="L138" s="5"/>
      <c r="M138" s="5" t="s">
        <v>2356</v>
      </c>
      <c r="O138" s="4" t="s">
        <v>104</v>
      </c>
      <c r="P138" s="4">
        <v>151</v>
      </c>
      <c r="Q138" s="4">
        <v>57</v>
      </c>
      <c r="R138" s="4">
        <v>80</v>
      </c>
      <c r="V138" s="6" t="s">
        <v>2357</v>
      </c>
    </row>
    <row r="139" spans="1:22" s="4" customFormat="1">
      <c r="A139" s="3"/>
      <c r="B139" s="4" t="s">
        <v>1228</v>
      </c>
      <c r="C139" s="4" t="s">
        <v>2358</v>
      </c>
      <c r="E139" s="64" t="s">
        <v>40</v>
      </c>
      <c r="F139" s="44">
        <v>24384</v>
      </c>
      <c r="G139" s="21">
        <f t="shared" si="13"/>
        <v>1966</v>
      </c>
      <c r="H139" s="4">
        <f t="shared" si="16"/>
        <v>60</v>
      </c>
      <c r="I139" s="3"/>
      <c r="J139" s="3" t="s">
        <v>27</v>
      </c>
      <c r="K139" s="4" t="s">
        <v>1919</v>
      </c>
      <c r="L139" s="5"/>
      <c r="M139" s="5" t="s">
        <v>2359</v>
      </c>
      <c r="O139" s="4" t="s">
        <v>34</v>
      </c>
      <c r="P139" s="4">
        <v>145</v>
      </c>
      <c r="Q139" s="4">
        <v>40</v>
      </c>
      <c r="R139" s="4">
        <v>80</v>
      </c>
      <c r="V139" s="6" t="s">
        <v>2360</v>
      </c>
    </row>
    <row r="140" spans="1:22" s="4" customFormat="1" hidden="1">
      <c r="A140" s="3"/>
      <c r="B140" s="4" t="s">
        <v>1228</v>
      </c>
      <c r="C140" s="4" t="s">
        <v>2361</v>
      </c>
      <c r="E140" s="64" t="s">
        <v>2374</v>
      </c>
      <c r="F140" s="44">
        <v>25569</v>
      </c>
      <c r="G140" s="21">
        <f t="shared" si="13"/>
        <v>1970</v>
      </c>
      <c r="H140" s="4">
        <f t="shared" si="16"/>
        <v>56</v>
      </c>
      <c r="I140" s="3" t="s">
        <v>27</v>
      </c>
      <c r="J140" s="3"/>
      <c r="K140" s="4" t="s">
        <v>1919</v>
      </c>
      <c r="L140" s="5"/>
      <c r="M140" s="5" t="s">
        <v>2362</v>
      </c>
      <c r="O140" s="4" t="s">
        <v>60</v>
      </c>
      <c r="P140" s="4">
        <v>160</v>
      </c>
      <c r="Q140" s="4">
        <v>45</v>
      </c>
      <c r="R140" s="4">
        <v>80</v>
      </c>
      <c r="V140" s="6" t="s">
        <v>2363</v>
      </c>
    </row>
    <row r="141" spans="1:22" s="4" customFormat="1" hidden="1">
      <c r="A141" s="3"/>
      <c r="B141" s="4" t="s">
        <v>1228</v>
      </c>
      <c r="C141" s="4" t="s">
        <v>2364</v>
      </c>
      <c r="E141" s="64" t="s">
        <v>2374</v>
      </c>
      <c r="F141" s="4" t="s">
        <v>2365</v>
      </c>
      <c r="G141" s="21" t="str">
        <f t="shared" si="17"/>
        <v>1991</v>
      </c>
      <c r="H141" s="4">
        <f t="shared" si="16"/>
        <v>35</v>
      </c>
      <c r="I141" s="3" t="s">
        <v>27</v>
      </c>
      <c r="J141" s="3"/>
      <c r="K141" s="4" t="s">
        <v>1919</v>
      </c>
      <c r="L141" s="5"/>
      <c r="M141" s="5" t="s">
        <v>2366</v>
      </c>
      <c r="O141" s="4" t="s">
        <v>87</v>
      </c>
      <c r="P141" s="4">
        <v>165</v>
      </c>
      <c r="Q141" s="4">
        <v>55</v>
      </c>
      <c r="R141" s="4">
        <v>80</v>
      </c>
      <c r="V141" s="6" t="s">
        <v>2367</v>
      </c>
    </row>
    <row r="142" spans="1:22" s="4" customFormat="1" hidden="1">
      <c r="A142" s="3"/>
      <c r="B142" s="4" t="s">
        <v>1228</v>
      </c>
      <c r="C142" s="4" t="s">
        <v>2368</v>
      </c>
      <c r="E142" s="64" t="s">
        <v>2374</v>
      </c>
      <c r="F142" s="4" t="s">
        <v>2369</v>
      </c>
      <c r="G142" s="21" t="str">
        <f>RIGHT(F142,4)</f>
        <v>1995</v>
      </c>
      <c r="H142" s="4">
        <f t="shared" si="16"/>
        <v>31</v>
      </c>
      <c r="I142" s="3" t="s">
        <v>27</v>
      </c>
      <c r="J142" s="3"/>
      <c r="K142" s="4" t="s">
        <v>1919</v>
      </c>
      <c r="L142" s="5"/>
      <c r="M142" s="5" t="s">
        <v>2370</v>
      </c>
      <c r="P142" s="4">
        <v>165</v>
      </c>
      <c r="Q142" s="4">
        <v>59</v>
      </c>
      <c r="V142" s="6" t="s">
        <v>604</v>
      </c>
    </row>
    <row r="143" spans="1:22" s="4" customFormat="1" hidden="1">
      <c r="A143" s="3"/>
      <c r="B143" s="4" t="s">
        <v>1228</v>
      </c>
      <c r="C143" s="4" t="s">
        <v>2371</v>
      </c>
      <c r="E143" s="64" t="s">
        <v>2374</v>
      </c>
      <c r="F143" s="44">
        <v>28767</v>
      </c>
      <c r="G143" s="21">
        <f t="shared" si="13"/>
        <v>1978</v>
      </c>
      <c r="H143" s="4">
        <f t="shared" si="16"/>
        <v>48</v>
      </c>
      <c r="I143" s="3"/>
      <c r="J143" s="3" t="s">
        <v>27</v>
      </c>
      <c r="K143" s="4" t="s">
        <v>1919</v>
      </c>
      <c r="L143" s="5"/>
      <c r="M143" s="5" t="s">
        <v>2372</v>
      </c>
      <c r="V143" s="6" t="s">
        <v>2373</v>
      </c>
    </row>
  </sheetData>
  <autoFilter ref="A2:X143" xr:uid="{04371F55-73CA-4BB3-9D56-7459B02D981B}">
    <filterColumn colId="4">
      <filters>
        <filter val="NCT"/>
      </filters>
    </filterColumn>
  </autoFilter>
  <mergeCells count="1">
    <mergeCell ref="I1:J1"/>
  </mergeCells>
  <conditionalFormatting sqref="C1:D2">
    <cfRule type="duplicateValues" dxfId="4" priority="3"/>
  </conditionalFormatting>
  <conditionalFormatting sqref="C3:D10">
    <cfRule type="duplicateValues" dxfId="3" priority="2"/>
  </conditionalFormatting>
  <conditionalFormatting sqref="C11:D143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10455-C321-4D53-B77A-C50DCC8D4D05}">
  <sheetPr filterMode="1"/>
  <dimension ref="A1:V213"/>
  <sheetViews>
    <sheetView tabSelected="1" topLeftCell="A154" workbookViewId="0">
      <selection activeCell="E4" sqref="E4:E213"/>
    </sheetView>
  </sheetViews>
  <sheetFormatPr defaultRowHeight="15"/>
  <cols>
    <col min="2" max="2" width="13.85546875" customWidth="1"/>
    <col min="3" max="3" width="18.7109375" customWidth="1"/>
    <col min="6" max="6" width="22.140625" customWidth="1"/>
  </cols>
  <sheetData>
    <row r="1" spans="1:22" s="1" customFormat="1" ht="57">
      <c r="A1" s="9" t="s">
        <v>4</v>
      </c>
      <c r="B1" s="9" t="s">
        <v>5</v>
      </c>
      <c r="C1" s="9" t="s">
        <v>6</v>
      </c>
      <c r="D1" s="9"/>
      <c r="E1" s="10" t="s">
        <v>7</v>
      </c>
      <c r="F1" s="9" t="s">
        <v>8</v>
      </c>
      <c r="G1" s="11" t="s">
        <v>9</v>
      </c>
      <c r="H1" s="11" t="s">
        <v>10</v>
      </c>
      <c r="I1" s="69" t="s">
        <v>11</v>
      </c>
      <c r="J1" s="70"/>
      <c r="K1" s="9" t="s">
        <v>12</v>
      </c>
      <c r="L1" s="13" t="s">
        <v>13</v>
      </c>
      <c r="M1" s="13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</row>
    <row r="2" spans="1:22" s="1" customFormat="1" ht="14.25">
      <c r="A2" s="11"/>
      <c r="B2" s="16"/>
      <c r="C2" s="12"/>
      <c r="D2" s="12"/>
      <c r="E2" s="10"/>
      <c r="F2" s="9"/>
      <c r="G2" s="11"/>
      <c r="H2" s="11"/>
      <c r="I2" s="11" t="s">
        <v>24</v>
      </c>
      <c r="J2" s="12" t="s">
        <v>25</v>
      </c>
      <c r="K2" s="9"/>
      <c r="L2" s="13"/>
      <c r="M2" s="13"/>
      <c r="N2" s="10"/>
      <c r="O2" s="10"/>
      <c r="P2" s="10"/>
      <c r="Q2" s="10"/>
      <c r="R2" s="14"/>
      <c r="S2" s="14"/>
      <c r="T2" s="14"/>
      <c r="U2" s="14"/>
      <c r="V2" s="15"/>
    </row>
    <row r="3" spans="1:22" s="4" customFormat="1" hidden="1">
      <c r="A3" s="20">
        <v>394</v>
      </c>
      <c r="B3" s="6" t="s">
        <v>1254</v>
      </c>
      <c r="C3" s="6" t="s">
        <v>1255</v>
      </c>
      <c r="D3" s="6"/>
      <c r="E3" s="6" t="s">
        <v>40</v>
      </c>
      <c r="F3" s="21">
        <v>10111953</v>
      </c>
      <c r="G3" s="21" t="str">
        <f t="shared" ref="G3:G66" si="0">RIGHT(F3,4)</f>
        <v>1953</v>
      </c>
      <c r="H3" s="22">
        <f t="shared" ref="H3:H66" si="1">2026-G3</f>
        <v>73</v>
      </c>
      <c r="I3" s="23"/>
      <c r="J3" s="20" t="s">
        <v>27</v>
      </c>
      <c r="K3" s="6" t="s">
        <v>1256</v>
      </c>
      <c r="L3" s="25"/>
      <c r="M3" s="45" t="s">
        <v>1257</v>
      </c>
      <c r="N3" s="6"/>
      <c r="O3" s="6" t="s">
        <v>280</v>
      </c>
      <c r="P3" s="6">
        <v>153</v>
      </c>
      <c r="Q3" s="6">
        <v>44</v>
      </c>
      <c r="R3" s="26"/>
      <c r="S3" s="26"/>
      <c r="T3" s="26"/>
      <c r="U3" s="26"/>
      <c r="V3" s="6"/>
    </row>
    <row r="4" spans="1:22" s="4" customFormat="1">
      <c r="A4" s="17">
        <v>395</v>
      </c>
      <c r="B4" s="6" t="s">
        <v>1254</v>
      </c>
      <c r="C4" s="6" t="s">
        <v>1258</v>
      </c>
      <c r="D4" s="6"/>
      <c r="E4" s="6" t="s">
        <v>2374</v>
      </c>
      <c r="F4" s="21">
        <v>10121974</v>
      </c>
      <c r="G4" s="21" t="str">
        <f t="shared" si="0"/>
        <v>1974</v>
      </c>
      <c r="H4" s="22">
        <f t="shared" si="1"/>
        <v>52</v>
      </c>
      <c r="I4" s="23"/>
      <c r="J4" s="20" t="s">
        <v>27</v>
      </c>
      <c r="K4" s="6" t="s">
        <v>1259</v>
      </c>
      <c r="L4" s="25"/>
      <c r="M4" s="45" t="s">
        <v>1260</v>
      </c>
      <c r="N4" s="6"/>
      <c r="O4" s="6" t="s">
        <v>1261</v>
      </c>
      <c r="P4" s="6">
        <v>165</v>
      </c>
      <c r="Q4" s="6">
        <v>60</v>
      </c>
      <c r="R4" s="26">
        <v>98</v>
      </c>
      <c r="S4" s="26"/>
      <c r="T4" s="26"/>
      <c r="U4" s="26"/>
      <c r="V4" s="6"/>
    </row>
    <row r="5" spans="1:22" s="4" customFormat="1">
      <c r="A5" s="20">
        <v>396</v>
      </c>
      <c r="B5" s="6" t="s">
        <v>1254</v>
      </c>
      <c r="C5" s="6" t="s">
        <v>1262</v>
      </c>
      <c r="D5" s="6"/>
      <c r="E5" s="6" t="s">
        <v>2374</v>
      </c>
      <c r="F5" s="21">
        <v>15041972</v>
      </c>
      <c r="G5" s="21" t="str">
        <f t="shared" si="0"/>
        <v>1972</v>
      </c>
      <c r="H5" s="22">
        <f t="shared" si="1"/>
        <v>54</v>
      </c>
      <c r="I5" s="23" t="s">
        <v>27</v>
      </c>
      <c r="J5" s="20"/>
      <c r="K5" s="6" t="s">
        <v>1259</v>
      </c>
      <c r="L5" s="25"/>
      <c r="M5" s="45" t="s">
        <v>1263</v>
      </c>
      <c r="N5" s="6"/>
      <c r="O5" s="6" t="s">
        <v>1264</v>
      </c>
      <c r="P5" s="6">
        <v>172</v>
      </c>
      <c r="Q5" s="6">
        <v>52</v>
      </c>
      <c r="R5" s="26">
        <v>90</v>
      </c>
      <c r="S5" s="26"/>
      <c r="T5" s="26"/>
      <c r="U5" s="26"/>
      <c r="V5" s="6" t="s">
        <v>252</v>
      </c>
    </row>
    <row r="6" spans="1:22" s="4" customFormat="1" hidden="1">
      <c r="A6" s="17">
        <v>397</v>
      </c>
      <c r="B6" s="6" t="s">
        <v>1254</v>
      </c>
      <c r="C6" s="6" t="s">
        <v>1265</v>
      </c>
      <c r="D6" s="6"/>
      <c r="E6" s="6" t="s">
        <v>40</v>
      </c>
      <c r="F6" s="21">
        <v>28101949</v>
      </c>
      <c r="G6" s="21" t="str">
        <f t="shared" si="0"/>
        <v>1949</v>
      </c>
      <c r="H6" s="22">
        <f t="shared" si="1"/>
        <v>77</v>
      </c>
      <c r="I6" s="23" t="s">
        <v>27</v>
      </c>
      <c r="J6" s="20"/>
      <c r="K6" s="6" t="s">
        <v>1259</v>
      </c>
      <c r="L6" s="25"/>
      <c r="M6" s="45" t="s">
        <v>1266</v>
      </c>
      <c r="N6" s="6"/>
      <c r="O6" s="6" t="s">
        <v>1267</v>
      </c>
      <c r="P6" s="6"/>
      <c r="Q6" s="6"/>
      <c r="R6" s="26">
        <v>62</v>
      </c>
      <c r="S6" s="26"/>
      <c r="T6" s="26"/>
      <c r="U6" s="26"/>
      <c r="V6" s="6"/>
    </row>
    <row r="7" spans="1:22" s="4" customFormat="1" hidden="1">
      <c r="A7" s="20">
        <v>398</v>
      </c>
      <c r="B7" s="6" t="s">
        <v>1254</v>
      </c>
      <c r="C7" s="6" t="s">
        <v>1268</v>
      </c>
      <c r="D7" s="6"/>
      <c r="E7" s="6" t="s">
        <v>40</v>
      </c>
      <c r="F7" s="21">
        <v>3041940</v>
      </c>
      <c r="G7" s="21" t="str">
        <f t="shared" si="0"/>
        <v>1940</v>
      </c>
      <c r="H7" s="22">
        <f t="shared" si="1"/>
        <v>86</v>
      </c>
      <c r="I7" s="23"/>
      <c r="J7" s="20" t="s">
        <v>27</v>
      </c>
      <c r="K7" s="6" t="s">
        <v>1259</v>
      </c>
      <c r="L7" s="25"/>
      <c r="M7" s="45" t="s">
        <v>1269</v>
      </c>
      <c r="N7" s="6"/>
      <c r="O7" s="6" t="s">
        <v>175</v>
      </c>
      <c r="P7" s="6">
        <v>155</v>
      </c>
      <c r="Q7" s="6">
        <v>40</v>
      </c>
      <c r="R7" s="26">
        <v>95</v>
      </c>
      <c r="S7" s="26"/>
      <c r="T7" s="26"/>
      <c r="U7" s="26"/>
      <c r="V7" s="6" t="s">
        <v>252</v>
      </c>
    </row>
    <row r="8" spans="1:22" s="4" customFormat="1" hidden="1">
      <c r="A8" s="17">
        <v>399</v>
      </c>
      <c r="B8" s="6" t="s">
        <v>1254</v>
      </c>
      <c r="C8" s="6" t="s">
        <v>1270</v>
      </c>
      <c r="D8" s="6"/>
      <c r="E8" s="6" t="s">
        <v>40</v>
      </c>
      <c r="F8" s="21">
        <v>10101938</v>
      </c>
      <c r="G8" s="21" t="str">
        <f t="shared" si="0"/>
        <v>1938</v>
      </c>
      <c r="H8" s="22">
        <f t="shared" si="1"/>
        <v>88</v>
      </c>
      <c r="I8" s="23" t="s">
        <v>27</v>
      </c>
      <c r="J8" s="20"/>
      <c r="K8" s="6" t="s">
        <v>1259</v>
      </c>
      <c r="L8" s="25"/>
      <c r="M8" s="45" t="s">
        <v>1271</v>
      </c>
      <c r="N8" s="6"/>
      <c r="O8" s="6" t="s">
        <v>1272</v>
      </c>
      <c r="P8" s="6"/>
      <c r="Q8" s="6"/>
      <c r="R8" s="26">
        <v>94</v>
      </c>
      <c r="S8" s="26"/>
      <c r="T8" s="26"/>
      <c r="U8" s="26"/>
      <c r="V8" s="6" t="s">
        <v>252</v>
      </c>
    </row>
    <row r="9" spans="1:22" s="4" customFormat="1" hidden="1">
      <c r="A9" s="20">
        <v>400</v>
      </c>
      <c r="B9" s="6" t="s">
        <v>1254</v>
      </c>
      <c r="C9" s="6" t="s">
        <v>1273</v>
      </c>
      <c r="D9" s="6"/>
      <c r="E9" s="6" t="s">
        <v>40</v>
      </c>
      <c r="F9" s="21">
        <v>4061965</v>
      </c>
      <c r="G9" s="21" t="str">
        <f t="shared" si="0"/>
        <v>1965</v>
      </c>
      <c r="H9" s="22">
        <f t="shared" si="1"/>
        <v>61</v>
      </c>
      <c r="I9" s="23"/>
      <c r="J9" s="20" t="s">
        <v>27</v>
      </c>
      <c r="K9" s="6" t="s">
        <v>1259</v>
      </c>
      <c r="L9" s="25"/>
      <c r="M9" s="45" t="s">
        <v>1274</v>
      </c>
      <c r="N9" s="6"/>
      <c r="O9" s="6" t="s">
        <v>34</v>
      </c>
      <c r="P9" s="6">
        <v>150</v>
      </c>
      <c r="Q9" s="6">
        <v>53</v>
      </c>
      <c r="R9" s="26">
        <v>71</v>
      </c>
      <c r="S9" s="26"/>
      <c r="T9" s="26"/>
      <c r="U9" s="26"/>
      <c r="V9" s="6" t="s">
        <v>1275</v>
      </c>
    </row>
    <row r="10" spans="1:22" s="4" customFormat="1" hidden="1">
      <c r="A10" s="17">
        <v>401</v>
      </c>
      <c r="B10" s="6" t="s">
        <v>1254</v>
      </c>
      <c r="C10" s="6" t="s">
        <v>1276</v>
      </c>
      <c r="D10" s="6"/>
      <c r="E10" s="6" t="s">
        <v>40</v>
      </c>
      <c r="F10" s="21">
        <v>10041949</v>
      </c>
      <c r="G10" s="21" t="str">
        <f t="shared" si="0"/>
        <v>1949</v>
      </c>
      <c r="H10" s="22">
        <f t="shared" si="1"/>
        <v>77</v>
      </c>
      <c r="I10" s="23" t="s">
        <v>27</v>
      </c>
      <c r="J10" s="20"/>
      <c r="K10" s="6" t="s">
        <v>1259</v>
      </c>
      <c r="L10" s="25"/>
      <c r="M10" s="45" t="s">
        <v>1277</v>
      </c>
      <c r="N10" s="6"/>
      <c r="O10" s="6" t="s">
        <v>1278</v>
      </c>
      <c r="P10" s="6">
        <v>167</v>
      </c>
      <c r="Q10" s="6">
        <v>56</v>
      </c>
      <c r="R10" s="26">
        <v>66</v>
      </c>
      <c r="S10" s="26"/>
      <c r="T10" s="26"/>
      <c r="U10" s="26"/>
      <c r="V10" s="6" t="s">
        <v>252</v>
      </c>
    </row>
    <row r="11" spans="1:22" s="4" customFormat="1" hidden="1">
      <c r="A11" s="20">
        <v>402</v>
      </c>
      <c r="B11" s="6" t="s">
        <v>1254</v>
      </c>
      <c r="C11" s="6" t="s">
        <v>105</v>
      </c>
      <c r="D11" s="6"/>
      <c r="E11" s="6" t="s">
        <v>40</v>
      </c>
      <c r="F11" s="21">
        <v>20081956</v>
      </c>
      <c r="G11" s="21" t="str">
        <f t="shared" si="0"/>
        <v>1956</v>
      </c>
      <c r="H11" s="22">
        <f t="shared" si="1"/>
        <v>70</v>
      </c>
      <c r="I11" s="23"/>
      <c r="J11" s="20" t="s">
        <v>27</v>
      </c>
      <c r="K11" s="6" t="s">
        <v>1259</v>
      </c>
      <c r="L11" s="25"/>
      <c r="M11" s="45" t="s">
        <v>1279</v>
      </c>
      <c r="N11" s="6"/>
      <c r="O11" s="6" t="s">
        <v>1280</v>
      </c>
      <c r="P11" s="6">
        <v>160</v>
      </c>
      <c r="Q11" s="6">
        <v>64</v>
      </c>
      <c r="R11" s="26">
        <v>74</v>
      </c>
      <c r="S11" s="26">
        <v>4</v>
      </c>
      <c r="T11" s="26">
        <v>10</v>
      </c>
      <c r="U11" s="26"/>
      <c r="V11" s="6" t="s">
        <v>252</v>
      </c>
    </row>
    <row r="12" spans="1:22" s="4" customFormat="1">
      <c r="A12" s="17">
        <v>403</v>
      </c>
      <c r="B12" s="6" t="s">
        <v>1254</v>
      </c>
      <c r="C12" s="6" t="s">
        <v>1281</v>
      </c>
      <c r="D12" s="6"/>
      <c r="E12" s="6" t="s">
        <v>2374</v>
      </c>
      <c r="F12" s="21">
        <v>4091971</v>
      </c>
      <c r="G12" s="21" t="str">
        <f t="shared" si="0"/>
        <v>1971</v>
      </c>
      <c r="H12" s="22">
        <f t="shared" si="1"/>
        <v>55</v>
      </c>
      <c r="I12" s="23"/>
      <c r="J12" s="20" t="s">
        <v>27</v>
      </c>
      <c r="K12" s="6" t="s">
        <v>1259</v>
      </c>
      <c r="L12" s="25"/>
      <c r="M12" s="45" t="s">
        <v>1282</v>
      </c>
      <c r="N12" s="6"/>
      <c r="O12" s="6"/>
      <c r="P12" s="6"/>
      <c r="Q12" s="6"/>
      <c r="R12" s="26"/>
      <c r="S12" s="26"/>
      <c r="T12" s="26"/>
      <c r="U12" s="26"/>
      <c r="V12" s="6"/>
    </row>
    <row r="13" spans="1:22" s="4" customFormat="1" hidden="1">
      <c r="A13" s="20">
        <v>404</v>
      </c>
      <c r="B13" s="6" t="s">
        <v>1254</v>
      </c>
      <c r="C13" s="6" t="s">
        <v>1283</v>
      </c>
      <c r="D13" s="6"/>
      <c r="E13" s="6" t="s">
        <v>40</v>
      </c>
      <c r="F13" s="21">
        <v>1071953</v>
      </c>
      <c r="G13" s="21" t="str">
        <f t="shared" si="0"/>
        <v>1953</v>
      </c>
      <c r="H13" s="22">
        <f t="shared" si="1"/>
        <v>73</v>
      </c>
      <c r="I13" s="23"/>
      <c r="J13" s="20" t="s">
        <v>27</v>
      </c>
      <c r="K13" s="6" t="s">
        <v>1259</v>
      </c>
      <c r="L13" s="25"/>
      <c r="M13" s="45" t="s">
        <v>1284</v>
      </c>
      <c r="N13" s="6"/>
      <c r="O13" s="6" t="s">
        <v>1285</v>
      </c>
      <c r="P13" s="6">
        <v>153</v>
      </c>
      <c r="Q13" s="6">
        <v>48</v>
      </c>
      <c r="R13" s="26">
        <v>99</v>
      </c>
      <c r="S13" s="26">
        <v>1</v>
      </c>
      <c r="T13" s="26">
        <v>1</v>
      </c>
      <c r="U13" s="26"/>
      <c r="V13" s="6" t="s">
        <v>252</v>
      </c>
    </row>
    <row r="14" spans="1:22" s="4" customFormat="1">
      <c r="A14" s="17">
        <v>405</v>
      </c>
      <c r="B14" s="6" t="s">
        <v>1254</v>
      </c>
      <c r="C14" s="6" t="s">
        <v>1286</v>
      </c>
      <c r="D14" s="6"/>
      <c r="E14" s="6" t="s">
        <v>2374</v>
      </c>
      <c r="F14" s="21">
        <v>29081987</v>
      </c>
      <c r="G14" s="21" t="str">
        <f t="shared" si="0"/>
        <v>1987</v>
      </c>
      <c r="H14" s="22">
        <f t="shared" si="1"/>
        <v>39</v>
      </c>
      <c r="I14" s="23"/>
      <c r="J14" s="20" t="s">
        <v>27</v>
      </c>
      <c r="K14" s="6" t="s">
        <v>1259</v>
      </c>
      <c r="L14" s="25"/>
      <c r="M14" s="45" t="s">
        <v>1287</v>
      </c>
      <c r="N14" s="6"/>
      <c r="O14" s="6" t="s">
        <v>1288</v>
      </c>
      <c r="P14" s="6">
        <v>160</v>
      </c>
      <c r="Q14" s="6">
        <v>65</v>
      </c>
      <c r="R14" s="26">
        <v>73</v>
      </c>
      <c r="S14" s="26"/>
      <c r="T14" s="26"/>
      <c r="U14" s="26"/>
      <c r="V14" s="6"/>
    </row>
    <row r="15" spans="1:22" s="4" customFormat="1">
      <c r="A15" s="17">
        <v>406</v>
      </c>
      <c r="B15" s="6" t="s">
        <v>1254</v>
      </c>
      <c r="C15" s="6" t="s">
        <v>1289</v>
      </c>
      <c r="D15" s="6"/>
      <c r="E15" s="6" t="s">
        <v>2374</v>
      </c>
      <c r="F15" s="21">
        <v>20061991</v>
      </c>
      <c r="G15" s="21" t="str">
        <f t="shared" si="0"/>
        <v>1991</v>
      </c>
      <c r="H15" s="22">
        <f t="shared" si="1"/>
        <v>35</v>
      </c>
      <c r="I15" s="23" t="s">
        <v>27</v>
      </c>
      <c r="J15" s="20"/>
      <c r="K15" s="6" t="s">
        <v>1259</v>
      </c>
      <c r="L15" s="5"/>
      <c r="M15" s="45" t="s">
        <v>1290</v>
      </c>
      <c r="N15" s="6"/>
      <c r="O15" s="6" t="s">
        <v>1291</v>
      </c>
      <c r="P15" s="6"/>
      <c r="Q15" s="6"/>
      <c r="R15" s="26">
        <v>88</v>
      </c>
      <c r="S15" s="26"/>
      <c r="T15" s="26"/>
      <c r="U15" s="26"/>
      <c r="V15" s="6"/>
    </row>
    <row r="16" spans="1:22" s="4" customFormat="1">
      <c r="A16" s="20">
        <v>407</v>
      </c>
      <c r="B16" s="6" t="s">
        <v>1254</v>
      </c>
      <c r="C16" s="6" t="s">
        <v>1292</v>
      </c>
      <c r="D16" s="6"/>
      <c r="E16" s="6" t="s">
        <v>2374</v>
      </c>
      <c r="F16" s="21">
        <v>8081978</v>
      </c>
      <c r="G16" s="21" t="str">
        <f t="shared" si="0"/>
        <v>1978</v>
      </c>
      <c r="H16" s="22">
        <f t="shared" si="1"/>
        <v>48</v>
      </c>
      <c r="I16" s="23"/>
      <c r="J16" s="20" t="s">
        <v>27</v>
      </c>
      <c r="K16" s="6" t="s">
        <v>1259</v>
      </c>
      <c r="L16" s="25"/>
      <c r="M16" s="45" t="s">
        <v>1293</v>
      </c>
      <c r="N16" s="6"/>
      <c r="O16" s="6" t="s">
        <v>1294</v>
      </c>
      <c r="P16" s="6">
        <v>150</v>
      </c>
      <c r="Q16" s="6">
        <v>55</v>
      </c>
      <c r="R16" s="26">
        <v>99</v>
      </c>
      <c r="S16" s="26"/>
      <c r="T16" s="26"/>
      <c r="U16" s="26"/>
      <c r="V16" s="6" t="s">
        <v>252</v>
      </c>
    </row>
    <row r="17" spans="1:22" s="4" customFormat="1" hidden="1">
      <c r="A17" s="17">
        <v>408</v>
      </c>
      <c r="B17" s="6" t="s">
        <v>1254</v>
      </c>
      <c r="C17" s="6" t="s">
        <v>638</v>
      </c>
      <c r="D17" s="6"/>
      <c r="E17" s="6" t="s">
        <v>40</v>
      </c>
      <c r="F17" s="21">
        <v>15011943</v>
      </c>
      <c r="G17" s="21" t="str">
        <f t="shared" si="0"/>
        <v>1943</v>
      </c>
      <c r="H17" s="22">
        <f t="shared" si="1"/>
        <v>83</v>
      </c>
      <c r="I17" s="23"/>
      <c r="J17" s="20" t="s">
        <v>27</v>
      </c>
      <c r="K17" s="6" t="s">
        <v>1259</v>
      </c>
      <c r="L17" s="25"/>
      <c r="M17" s="45" t="s">
        <v>1295</v>
      </c>
      <c r="N17" s="6"/>
      <c r="O17" s="6" t="s">
        <v>1296</v>
      </c>
      <c r="P17" s="6">
        <v>148</v>
      </c>
      <c r="Q17" s="6">
        <v>40</v>
      </c>
      <c r="R17" s="26">
        <v>96</v>
      </c>
      <c r="S17" s="26"/>
      <c r="T17" s="26"/>
      <c r="U17" s="26"/>
      <c r="V17" s="6" t="s">
        <v>252</v>
      </c>
    </row>
    <row r="18" spans="1:22" s="4" customFormat="1">
      <c r="A18" s="20">
        <v>409</v>
      </c>
      <c r="B18" s="6" t="s">
        <v>1254</v>
      </c>
      <c r="C18" s="6" t="s">
        <v>1297</v>
      </c>
      <c r="D18" s="6"/>
      <c r="E18" s="6" t="s">
        <v>2374</v>
      </c>
      <c r="F18" s="21">
        <v>14081987</v>
      </c>
      <c r="G18" s="21" t="str">
        <f t="shared" si="0"/>
        <v>1987</v>
      </c>
      <c r="H18" s="22">
        <f t="shared" si="1"/>
        <v>39</v>
      </c>
      <c r="I18" s="23"/>
      <c r="J18" s="20" t="s">
        <v>27</v>
      </c>
      <c r="K18" s="6" t="s">
        <v>1259</v>
      </c>
      <c r="L18" s="25"/>
      <c r="M18" s="45" t="s">
        <v>1298</v>
      </c>
      <c r="N18" s="6"/>
      <c r="O18" s="6" t="s">
        <v>1299</v>
      </c>
      <c r="P18" s="6">
        <v>145</v>
      </c>
      <c r="Q18" s="6">
        <v>52</v>
      </c>
      <c r="R18" s="26">
        <v>85</v>
      </c>
      <c r="S18" s="26"/>
      <c r="T18" s="26"/>
      <c r="U18" s="26"/>
      <c r="V18" s="6"/>
    </row>
    <row r="19" spans="1:22" s="4" customFormat="1" hidden="1">
      <c r="A19" s="17">
        <v>410</v>
      </c>
      <c r="B19" s="6" t="s">
        <v>1254</v>
      </c>
      <c r="C19" s="6" t="s">
        <v>120</v>
      </c>
      <c r="D19" s="6"/>
      <c r="E19" s="6" t="s">
        <v>40</v>
      </c>
      <c r="F19" s="21">
        <v>10041947</v>
      </c>
      <c r="G19" s="21" t="str">
        <f t="shared" si="0"/>
        <v>1947</v>
      </c>
      <c r="H19" s="22">
        <f t="shared" si="1"/>
        <v>79</v>
      </c>
      <c r="I19" s="23"/>
      <c r="J19" s="20" t="s">
        <v>27</v>
      </c>
      <c r="K19" s="6" t="s">
        <v>1259</v>
      </c>
      <c r="L19" s="25"/>
      <c r="M19" s="45" t="s">
        <v>1300</v>
      </c>
      <c r="N19" s="6"/>
      <c r="O19" s="6" t="s">
        <v>1301</v>
      </c>
      <c r="P19" s="6">
        <v>146</v>
      </c>
      <c r="Q19" s="6">
        <v>41</v>
      </c>
      <c r="R19" s="26">
        <v>95</v>
      </c>
      <c r="S19" s="26">
        <v>4</v>
      </c>
      <c r="T19" s="26">
        <v>10</v>
      </c>
      <c r="U19" s="26"/>
      <c r="V19" s="6" t="s">
        <v>1302</v>
      </c>
    </row>
    <row r="20" spans="1:22" s="4" customFormat="1">
      <c r="A20" s="20">
        <v>411</v>
      </c>
      <c r="B20" s="6" t="s">
        <v>1254</v>
      </c>
      <c r="C20" s="6" t="s">
        <v>1303</v>
      </c>
      <c r="D20" s="6"/>
      <c r="E20" s="6" t="s">
        <v>2374</v>
      </c>
      <c r="F20" s="21">
        <v>29041983</v>
      </c>
      <c r="G20" s="21" t="str">
        <f t="shared" si="0"/>
        <v>1983</v>
      </c>
      <c r="H20" s="22">
        <f t="shared" si="1"/>
        <v>43</v>
      </c>
      <c r="I20" s="23" t="s">
        <v>27</v>
      </c>
      <c r="J20" s="20"/>
      <c r="K20" s="6" t="s">
        <v>1259</v>
      </c>
      <c r="L20" s="25"/>
      <c r="M20" s="45" t="s">
        <v>1304</v>
      </c>
      <c r="N20" s="6"/>
      <c r="O20" s="6" t="s">
        <v>1305</v>
      </c>
      <c r="P20" s="6">
        <v>167</v>
      </c>
      <c r="Q20" s="6">
        <v>76</v>
      </c>
      <c r="R20" s="26">
        <v>97</v>
      </c>
      <c r="S20" s="26">
        <v>10</v>
      </c>
      <c r="T20" s="26">
        <v>10</v>
      </c>
      <c r="U20" s="26"/>
      <c r="V20" s="6" t="s">
        <v>1306</v>
      </c>
    </row>
    <row r="21" spans="1:22" s="4" customFormat="1" hidden="1">
      <c r="A21" s="17">
        <v>412</v>
      </c>
      <c r="B21" s="6" t="s">
        <v>1254</v>
      </c>
      <c r="C21" s="6" t="s">
        <v>1307</v>
      </c>
      <c r="D21" s="6"/>
      <c r="E21" s="6" t="s">
        <v>92</v>
      </c>
      <c r="F21" s="21">
        <v>16031983</v>
      </c>
      <c r="G21" s="21" t="str">
        <f t="shared" si="0"/>
        <v>1983</v>
      </c>
      <c r="H21" s="22">
        <f t="shared" si="1"/>
        <v>43</v>
      </c>
      <c r="I21" s="23" t="s">
        <v>27</v>
      </c>
      <c r="J21" s="20"/>
      <c r="K21" s="6" t="s">
        <v>1259</v>
      </c>
      <c r="L21" s="25"/>
      <c r="M21" s="45" t="s">
        <v>1308</v>
      </c>
      <c r="N21" s="6"/>
      <c r="O21" s="6" t="s">
        <v>1309</v>
      </c>
      <c r="P21" s="6">
        <v>150</v>
      </c>
      <c r="Q21" s="6">
        <v>45</v>
      </c>
      <c r="R21" s="26">
        <v>77</v>
      </c>
      <c r="S21" s="26"/>
      <c r="T21" s="26"/>
      <c r="U21" s="26"/>
      <c r="V21" s="6"/>
    </row>
    <row r="22" spans="1:22" s="4" customFormat="1">
      <c r="A22" s="20">
        <v>413</v>
      </c>
      <c r="B22" s="6" t="s">
        <v>1254</v>
      </c>
      <c r="C22" s="6" t="s">
        <v>1310</v>
      </c>
      <c r="D22" s="6"/>
      <c r="E22" s="6" t="s">
        <v>2374</v>
      </c>
      <c r="F22" s="21">
        <v>24011994</v>
      </c>
      <c r="G22" s="21" t="str">
        <f t="shared" si="0"/>
        <v>1994</v>
      </c>
      <c r="H22" s="22">
        <f t="shared" si="1"/>
        <v>32</v>
      </c>
      <c r="I22" s="23" t="s">
        <v>27</v>
      </c>
      <c r="J22" s="20"/>
      <c r="K22" s="6" t="s">
        <v>1259</v>
      </c>
      <c r="L22" s="25"/>
      <c r="M22" s="45" t="s">
        <v>1311</v>
      </c>
      <c r="N22" s="6"/>
      <c r="O22" s="6" t="s">
        <v>1312</v>
      </c>
      <c r="P22" s="6"/>
      <c r="Q22" s="6"/>
      <c r="R22" s="26">
        <v>84</v>
      </c>
      <c r="S22" s="26"/>
      <c r="T22" s="26"/>
      <c r="U22" s="26"/>
      <c r="V22" s="6" t="s">
        <v>252</v>
      </c>
    </row>
    <row r="23" spans="1:22" s="4" customFormat="1">
      <c r="A23" s="17">
        <v>414</v>
      </c>
      <c r="B23" s="6" t="s">
        <v>1254</v>
      </c>
      <c r="C23" s="6" t="s">
        <v>1313</v>
      </c>
      <c r="D23" s="6"/>
      <c r="E23" s="6" t="s">
        <v>2374</v>
      </c>
      <c r="F23" s="21">
        <v>8021994</v>
      </c>
      <c r="G23" s="21" t="str">
        <f t="shared" si="0"/>
        <v>1994</v>
      </c>
      <c r="H23" s="22">
        <f t="shared" si="1"/>
        <v>32</v>
      </c>
      <c r="I23" s="23"/>
      <c r="J23" s="20" t="s">
        <v>27</v>
      </c>
      <c r="K23" s="6" t="s">
        <v>1259</v>
      </c>
      <c r="L23" s="25"/>
      <c r="M23" s="45" t="s">
        <v>1314</v>
      </c>
      <c r="N23" s="6"/>
      <c r="O23" s="6" t="s">
        <v>1315</v>
      </c>
      <c r="P23" s="6">
        <v>153</v>
      </c>
      <c r="Q23" s="6">
        <v>52</v>
      </c>
      <c r="R23" s="26">
        <v>95</v>
      </c>
      <c r="S23" s="26"/>
      <c r="T23" s="26"/>
      <c r="U23" s="26"/>
      <c r="V23" s="6"/>
    </row>
    <row r="24" spans="1:22" s="4" customFormat="1" hidden="1">
      <c r="A24" s="20">
        <v>415</v>
      </c>
      <c r="B24" s="6" t="s">
        <v>1254</v>
      </c>
      <c r="C24" s="6" t="s">
        <v>1316</v>
      </c>
      <c r="D24" s="6"/>
      <c r="E24" s="6" t="s">
        <v>40</v>
      </c>
      <c r="F24" s="21">
        <v>30051965</v>
      </c>
      <c r="G24" s="21" t="str">
        <f t="shared" si="0"/>
        <v>1965</v>
      </c>
      <c r="H24" s="22">
        <f t="shared" si="1"/>
        <v>61</v>
      </c>
      <c r="I24" s="23" t="s">
        <v>27</v>
      </c>
      <c r="J24" s="20"/>
      <c r="K24" s="6"/>
      <c r="L24" s="25"/>
      <c r="M24" s="45" t="s">
        <v>1317</v>
      </c>
      <c r="N24" s="6"/>
      <c r="O24" s="6" t="s">
        <v>570</v>
      </c>
      <c r="P24" s="6"/>
      <c r="Q24" s="6"/>
      <c r="R24" s="26">
        <v>98</v>
      </c>
      <c r="S24" s="26"/>
      <c r="T24" s="26"/>
      <c r="U24" s="26"/>
      <c r="V24" s="6" t="s">
        <v>252</v>
      </c>
    </row>
    <row r="25" spans="1:22" s="4" customFormat="1">
      <c r="A25" s="17">
        <v>416</v>
      </c>
      <c r="B25" s="6" t="s">
        <v>1254</v>
      </c>
      <c r="C25" s="6" t="s">
        <v>1318</v>
      </c>
      <c r="D25" s="6"/>
      <c r="E25" s="6" t="s">
        <v>2374</v>
      </c>
      <c r="F25" s="21">
        <v>18111995</v>
      </c>
      <c r="G25" s="21" t="str">
        <f t="shared" si="0"/>
        <v>1995</v>
      </c>
      <c r="H25" s="22">
        <f t="shared" si="1"/>
        <v>31</v>
      </c>
      <c r="I25" s="23"/>
      <c r="J25" s="20" t="s">
        <v>27</v>
      </c>
      <c r="K25" s="6" t="s">
        <v>1259</v>
      </c>
      <c r="L25" s="25"/>
      <c r="M25" s="45" t="s">
        <v>1319</v>
      </c>
      <c r="N25" s="6"/>
      <c r="O25" s="6" t="s">
        <v>1320</v>
      </c>
      <c r="P25" s="6">
        <v>153</v>
      </c>
      <c r="Q25" s="6">
        <v>65</v>
      </c>
      <c r="R25" s="26">
        <v>75</v>
      </c>
      <c r="S25" s="26"/>
      <c r="T25" s="26"/>
      <c r="U25" s="26"/>
      <c r="V25" s="6"/>
    </row>
    <row r="26" spans="1:22" s="4" customFormat="1">
      <c r="A26" s="20">
        <v>417</v>
      </c>
      <c r="B26" s="6" t="s">
        <v>1254</v>
      </c>
      <c r="C26" s="6" t="s">
        <v>1321</v>
      </c>
      <c r="D26" s="6"/>
      <c r="E26" s="6" t="s">
        <v>2374</v>
      </c>
      <c r="F26" s="21">
        <v>15061970</v>
      </c>
      <c r="G26" s="21" t="str">
        <f t="shared" si="0"/>
        <v>1970</v>
      </c>
      <c r="H26" s="22">
        <f t="shared" si="1"/>
        <v>56</v>
      </c>
      <c r="I26" s="23"/>
      <c r="J26" s="20" t="s">
        <v>27</v>
      </c>
      <c r="K26" s="6" t="s">
        <v>1259</v>
      </c>
      <c r="L26" s="25"/>
      <c r="M26" s="45" t="s">
        <v>1322</v>
      </c>
      <c r="N26" s="6"/>
      <c r="O26" s="6" t="s">
        <v>1323</v>
      </c>
      <c r="P26" s="6"/>
      <c r="Q26" s="6"/>
      <c r="R26" s="26">
        <v>89</v>
      </c>
      <c r="S26" s="26"/>
      <c r="T26" s="26"/>
      <c r="U26" s="26"/>
      <c r="V26" s="6" t="s">
        <v>252</v>
      </c>
    </row>
    <row r="27" spans="1:22" s="4" customFormat="1" hidden="1">
      <c r="A27" s="17">
        <v>418</v>
      </c>
      <c r="B27" s="6" t="s">
        <v>1254</v>
      </c>
      <c r="C27" s="6" t="s">
        <v>1324</v>
      </c>
      <c r="D27" s="6"/>
      <c r="E27" s="6" t="s">
        <v>40</v>
      </c>
      <c r="F27" s="21">
        <v>5101963</v>
      </c>
      <c r="G27" s="21" t="str">
        <f t="shared" si="0"/>
        <v>1963</v>
      </c>
      <c r="H27" s="22">
        <f t="shared" si="1"/>
        <v>63</v>
      </c>
      <c r="I27" s="23" t="s">
        <v>27</v>
      </c>
      <c r="J27" s="20"/>
      <c r="K27" s="6"/>
      <c r="L27" s="25"/>
      <c r="M27" s="45" t="s">
        <v>1325</v>
      </c>
      <c r="N27" s="6"/>
      <c r="O27" s="6" t="s">
        <v>1326</v>
      </c>
      <c r="P27" s="6">
        <v>173</v>
      </c>
      <c r="Q27" s="6">
        <v>73</v>
      </c>
      <c r="R27" s="26">
        <v>68</v>
      </c>
      <c r="S27" s="26">
        <v>5</v>
      </c>
      <c r="T27" s="26">
        <v>5</v>
      </c>
      <c r="U27" s="26"/>
      <c r="V27" s="6" t="s">
        <v>252</v>
      </c>
    </row>
    <row r="28" spans="1:22" s="4" customFormat="1">
      <c r="A28" s="20">
        <v>419</v>
      </c>
      <c r="B28" s="6" t="s">
        <v>1254</v>
      </c>
      <c r="C28" s="6" t="s">
        <v>1327</v>
      </c>
      <c r="D28" s="6"/>
      <c r="E28" s="6" t="s">
        <v>2374</v>
      </c>
      <c r="F28" s="21">
        <v>21031970</v>
      </c>
      <c r="G28" s="21" t="str">
        <f t="shared" si="0"/>
        <v>1970</v>
      </c>
      <c r="H28" s="22">
        <f t="shared" si="1"/>
        <v>56</v>
      </c>
      <c r="I28" s="23"/>
      <c r="J28" s="20" t="s">
        <v>27</v>
      </c>
      <c r="K28" s="6" t="s">
        <v>1259</v>
      </c>
      <c r="L28" s="25"/>
      <c r="M28" s="45" t="s">
        <v>1328</v>
      </c>
      <c r="N28" s="6"/>
      <c r="O28" s="6" t="s">
        <v>1329</v>
      </c>
      <c r="P28" s="6">
        <v>157</v>
      </c>
      <c r="Q28" s="6">
        <v>55</v>
      </c>
      <c r="R28" s="26">
        <v>82</v>
      </c>
      <c r="S28" s="26">
        <v>10</v>
      </c>
      <c r="T28" s="26">
        <v>10</v>
      </c>
      <c r="U28" s="26"/>
      <c r="V28" s="6" t="s">
        <v>252</v>
      </c>
    </row>
    <row r="29" spans="1:22" s="4" customFormat="1">
      <c r="A29" s="17">
        <v>420</v>
      </c>
      <c r="B29" s="6" t="s">
        <v>1254</v>
      </c>
      <c r="C29" s="6" t="s">
        <v>1330</v>
      </c>
      <c r="D29" s="6"/>
      <c r="E29" s="6" t="s">
        <v>2374</v>
      </c>
      <c r="F29" s="21">
        <v>24021976</v>
      </c>
      <c r="G29" s="21" t="str">
        <f t="shared" si="0"/>
        <v>1976</v>
      </c>
      <c r="H29" s="22">
        <f t="shared" si="1"/>
        <v>50</v>
      </c>
      <c r="I29" s="23"/>
      <c r="J29" s="20" t="s">
        <v>27</v>
      </c>
      <c r="K29" s="6" t="s">
        <v>1259</v>
      </c>
      <c r="L29" s="25"/>
      <c r="M29" s="45" t="s">
        <v>1331</v>
      </c>
      <c r="N29" s="6"/>
      <c r="O29" s="6" t="s">
        <v>1332</v>
      </c>
      <c r="P29" s="6"/>
      <c r="Q29" s="6"/>
      <c r="R29" s="26">
        <v>79</v>
      </c>
      <c r="S29" s="26">
        <v>10</v>
      </c>
      <c r="T29" s="26">
        <v>10</v>
      </c>
      <c r="U29" s="26"/>
      <c r="V29" s="6" t="s">
        <v>252</v>
      </c>
    </row>
    <row r="30" spans="1:22" s="4" customFormat="1">
      <c r="A30" s="20">
        <v>421</v>
      </c>
      <c r="B30" s="6" t="s">
        <v>1254</v>
      </c>
      <c r="C30" s="6" t="s">
        <v>1333</v>
      </c>
      <c r="D30" s="6"/>
      <c r="E30" s="6" t="s">
        <v>2374</v>
      </c>
      <c r="F30" s="21">
        <v>14081969</v>
      </c>
      <c r="G30" s="21" t="str">
        <f t="shared" si="0"/>
        <v>1969</v>
      </c>
      <c r="H30" s="22">
        <f t="shared" si="1"/>
        <v>57</v>
      </c>
      <c r="I30" s="23" t="s">
        <v>27</v>
      </c>
      <c r="J30" s="20"/>
      <c r="K30" s="6" t="s">
        <v>1259</v>
      </c>
      <c r="L30" s="25"/>
      <c r="M30" s="45" t="s">
        <v>1334</v>
      </c>
      <c r="N30" s="6"/>
      <c r="O30" s="6" t="s">
        <v>1335</v>
      </c>
      <c r="P30" s="6">
        <v>163</v>
      </c>
      <c r="Q30" s="6">
        <v>71</v>
      </c>
      <c r="R30" s="26">
        <v>69</v>
      </c>
      <c r="S30" s="26">
        <v>10</v>
      </c>
      <c r="T30" s="26">
        <v>10</v>
      </c>
      <c r="U30" s="26"/>
      <c r="V30" s="6"/>
    </row>
    <row r="31" spans="1:22" s="4" customFormat="1">
      <c r="A31" s="17">
        <v>422</v>
      </c>
      <c r="B31" s="6" t="s">
        <v>1254</v>
      </c>
      <c r="C31" s="6" t="s">
        <v>1336</v>
      </c>
      <c r="D31" s="6"/>
      <c r="E31" s="6" t="s">
        <v>2374</v>
      </c>
      <c r="F31" s="21">
        <v>30041994</v>
      </c>
      <c r="G31" s="21" t="str">
        <f t="shared" si="0"/>
        <v>1994</v>
      </c>
      <c r="H31" s="22">
        <f t="shared" si="1"/>
        <v>32</v>
      </c>
      <c r="I31" s="23"/>
      <c r="J31" s="20" t="s">
        <v>27</v>
      </c>
      <c r="K31" s="6" t="s">
        <v>1259</v>
      </c>
      <c r="L31" s="25"/>
      <c r="M31" s="45" t="s">
        <v>1337</v>
      </c>
      <c r="N31" s="6"/>
      <c r="O31" s="6" t="s">
        <v>1338</v>
      </c>
      <c r="P31" s="6">
        <v>163</v>
      </c>
      <c r="Q31" s="6">
        <v>75</v>
      </c>
      <c r="R31" s="26"/>
      <c r="S31" s="26"/>
      <c r="T31" s="26"/>
      <c r="U31" s="26"/>
      <c r="V31" s="6"/>
    </row>
    <row r="32" spans="1:22" s="4" customFormat="1">
      <c r="A32" s="20">
        <v>423</v>
      </c>
      <c r="B32" s="6" t="s">
        <v>1254</v>
      </c>
      <c r="C32" s="6" t="s">
        <v>1339</v>
      </c>
      <c r="D32" s="6"/>
      <c r="E32" s="6" t="s">
        <v>2374</v>
      </c>
      <c r="F32" s="21">
        <v>3122006</v>
      </c>
      <c r="G32" s="21" t="str">
        <f t="shared" si="0"/>
        <v>2006</v>
      </c>
      <c r="H32" s="22">
        <f t="shared" si="1"/>
        <v>20</v>
      </c>
      <c r="I32" s="23" t="s">
        <v>27</v>
      </c>
      <c r="J32" s="20"/>
      <c r="K32" s="6" t="s">
        <v>1259</v>
      </c>
      <c r="L32" s="25"/>
      <c r="M32" s="45" t="s">
        <v>1340</v>
      </c>
      <c r="N32" s="6"/>
      <c r="O32" s="6" t="s">
        <v>1341</v>
      </c>
      <c r="P32" s="6">
        <v>178</v>
      </c>
      <c r="Q32" s="6">
        <v>90</v>
      </c>
      <c r="R32" s="26">
        <v>94</v>
      </c>
      <c r="S32" s="26"/>
      <c r="T32" s="26"/>
      <c r="U32" s="26"/>
      <c r="V32" s="6" t="s">
        <v>1342</v>
      </c>
    </row>
    <row r="33" spans="1:22" s="4" customFormat="1">
      <c r="A33" s="17">
        <v>424</v>
      </c>
      <c r="B33" s="6" t="s">
        <v>1254</v>
      </c>
      <c r="C33" s="6" t="s">
        <v>1343</v>
      </c>
      <c r="D33" s="6"/>
      <c r="E33" s="6" t="s">
        <v>2374</v>
      </c>
      <c r="F33" s="21">
        <v>4011967</v>
      </c>
      <c r="G33" s="21" t="str">
        <f t="shared" si="0"/>
        <v>1967</v>
      </c>
      <c r="H33" s="22">
        <f t="shared" si="1"/>
        <v>59</v>
      </c>
      <c r="I33" s="23"/>
      <c r="J33" s="20" t="s">
        <v>27</v>
      </c>
      <c r="K33" s="6" t="s">
        <v>1259</v>
      </c>
      <c r="L33" s="25"/>
      <c r="M33" s="45" t="s">
        <v>1344</v>
      </c>
      <c r="N33" s="6"/>
      <c r="O33" s="6" t="s">
        <v>1345</v>
      </c>
      <c r="P33" s="6">
        <v>153</v>
      </c>
      <c r="Q33" s="6">
        <v>45</v>
      </c>
      <c r="R33" s="26">
        <v>171</v>
      </c>
      <c r="S33" s="26"/>
      <c r="T33" s="26"/>
      <c r="U33" s="26"/>
      <c r="V33" s="6" t="s">
        <v>1346</v>
      </c>
    </row>
    <row r="34" spans="1:22" s="4" customFormat="1" hidden="1">
      <c r="A34" s="20">
        <v>425</v>
      </c>
      <c r="B34" s="6" t="s">
        <v>1254</v>
      </c>
      <c r="C34" s="6" t="s">
        <v>1347</v>
      </c>
      <c r="D34" s="6"/>
      <c r="E34" s="72" t="s">
        <v>2421</v>
      </c>
      <c r="F34" s="21">
        <v>1082011</v>
      </c>
      <c r="G34" s="21" t="str">
        <f t="shared" si="0"/>
        <v>2011</v>
      </c>
      <c r="H34" s="22">
        <f t="shared" si="1"/>
        <v>15</v>
      </c>
      <c r="I34" s="23"/>
      <c r="J34" s="20" t="s">
        <v>27</v>
      </c>
      <c r="K34" s="6" t="s">
        <v>1259</v>
      </c>
      <c r="L34" s="25"/>
      <c r="M34" s="45" t="s">
        <v>1348</v>
      </c>
      <c r="N34" s="6"/>
      <c r="O34" s="6" t="s">
        <v>1349</v>
      </c>
      <c r="P34" s="6">
        <v>153</v>
      </c>
      <c r="Q34" s="6">
        <v>49</v>
      </c>
      <c r="R34" s="26">
        <v>80</v>
      </c>
      <c r="S34" s="26"/>
      <c r="T34" s="26"/>
      <c r="U34" s="26"/>
      <c r="V34" s="6"/>
    </row>
    <row r="35" spans="1:22" s="4" customFormat="1" hidden="1">
      <c r="A35" s="17">
        <v>426</v>
      </c>
      <c r="B35" s="6" t="s">
        <v>1254</v>
      </c>
      <c r="C35" s="6" t="s">
        <v>1350</v>
      </c>
      <c r="D35" s="6"/>
      <c r="E35" s="6" t="s">
        <v>40</v>
      </c>
      <c r="F35" s="21">
        <v>2021950</v>
      </c>
      <c r="G35" s="21" t="str">
        <f t="shared" si="0"/>
        <v>1950</v>
      </c>
      <c r="H35" s="22">
        <f t="shared" si="1"/>
        <v>76</v>
      </c>
      <c r="I35" s="23"/>
      <c r="J35" s="20" t="s">
        <v>27</v>
      </c>
      <c r="K35" s="6" t="s">
        <v>1259</v>
      </c>
      <c r="L35" s="25"/>
      <c r="M35" s="45" t="s">
        <v>1351</v>
      </c>
      <c r="N35" s="6"/>
      <c r="O35" s="6"/>
      <c r="P35" s="6"/>
      <c r="Q35" s="6"/>
      <c r="R35" s="26"/>
      <c r="S35" s="26"/>
      <c r="T35" s="26"/>
      <c r="U35" s="26"/>
      <c r="V35" s="6" t="s">
        <v>1352</v>
      </c>
    </row>
    <row r="36" spans="1:22" s="4" customFormat="1" hidden="1">
      <c r="A36" s="20">
        <v>427</v>
      </c>
      <c r="B36" s="6" t="s">
        <v>1254</v>
      </c>
      <c r="C36" s="6" t="s">
        <v>1353</v>
      </c>
      <c r="D36" s="6"/>
      <c r="E36" s="6" t="s">
        <v>40</v>
      </c>
      <c r="F36" s="21">
        <v>12101940</v>
      </c>
      <c r="G36" s="21" t="str">
        <f t="shared" si="0"/>
        <v>1940</v>
      </c>
      <c r="H36" s="22">
        <f t="shared" si="1"/>
        <v>86</v>
      </c>
      <c r="I36" s="23" t="s">
        <v>27</v>
      </c>
      <c r="J36" s="20"/>
      <c r="K36" s="6" t="s">
        <v>259</v>
      </c>
      <c r="L36" s="25"/>
      <c r="M36" s="45" t="s">
        <v>1354</v>
      </c>
      <c r="N36" s="6"/>
      <c r="O36" s="6" t="s">
        <v>504</v>
      </c>
      <c r="P36" s="6">
        <v>166</v>
      </c>
      <c r="Q36" s="6">
        <v>40</v>
      </c>
      <c r="R36" s="26">
        <v>65</v>
      </c>
      <c r="S36" s="26">
        <v>3</v>
      </c>
      <c r="T36" s="26">
        <v>3</v>
      </c>
      <c r="U36" s="26"/>
      <c r="V36" s="6" t="s">
        <v>1355</v>
      </c>
    </row>
    <row r="37" spans="1:22" s="4" customFormat="1" hidden="1">
      <c r="A37" s="17">
        <v>428</v>
      </c>
      <c r="B37" s="6" t="s">
        <v>1254</v>
      </c>
      <c r="C37" s="6" t="s">
        <v>861</v>
      </c>
      <c r="D37" s="6"/>
      <c r="E37" s="6" t="s">
        <v>40</v>
      </c>
      <c r="F37" s="21">
        <v>1011955</v>
      </c>
      <c r="G37" s="21" t="str">
        <f t="shared" si="0"/>
        <v>1955</v>
      </c>
      <c r="H37" s="22">
        <f t="shared" si="1"/>
        <v>71</v>
      </c>
      <c r="I37" s="23"/>
      <c r="J37" s="20"/>
      <c r="K37" s="6" t="s">
        <v>259</v>
      </c>
      <c r="L37" s="25"/>
      <c r="M37" s="25"/>
      <c r="N37" s="6"/>
      <c r="O37" s="6" t="s">
        <v>104</v>
      </c>
      <c r="P37" s="6">
        <v>150</v>
      </c>
      <c r="Q37" s="6">
        <v>42</v>
      </c>
      <c r="R37" s="26">
        <v>97</v>
      </c>
      <c r="S37" s="26"/>
      <c r="T37" s="26"/>
      <c r="U37" s="26"/>
      <c r="V37" s="6" t="s">
        <v>1302</v>
      </c>
    </row>
    <row r="38" spans="1:22" s="4" customFormat="1" hidden="1">
      <c r="A38" s="20">
        <v>429</v>
      </c>
      <c r="B38" s="6" t="s">
        <v>1254</v>
      </c>
      <c r="C38" s="6" t="s">
        <v>1356</v>
      </c>
      <c r="D38" s="6"/>
      <c r="E38" s="6" t="s">
        <v>40</v>
      </c>
      <c r="F38" s="21">
        <v>20041964</v>
      </c>
      <c r="G38" s="21" t="str">
        <f t="shared" si="0"/>
        <v>1964</v>
      </c>
      <c r="H38" s="22">
        <f t="shared" si="1"/>
        <v>62</v>
      </c>
      <c r="I38" s="23"/>
      <c r="J38" s="20"/>
      <c r="K38" s="6" t="s">
        <v>1357</v>
      </c>
      <c r="L38" s="25"/>
      <c r="M38" s="45" t="s">
        <v>1358</v>
      </c>
      <c r="N38" s="6"/>
      <c r="O38" s="6" t="s">
        <v>60</v>
      </c>
      <c r="P38" s="6">
        <v>145</v>
      </c>
      <c r="Q38" s="6">
        <v>43</v>
      </c>
      <c r="R38" s="26">
        <v>84</v>
      </c>
      <c r="S38" s="26"/>
      <c r="T38" s="26"/>
      <c r="U38" s="26"/>
      <c r="V38" s="6" t="s">
        <v>1359</v>
      </c>
    </row>
    <row r="39" spans="1:22" s="4" customFormat="1" hidden="1">
      <c r="A39" s="17">
        <v>430</v>
      </c>
      <c r="B39" s="6" t="s">
        <v>1254</v>
      </c>
      <c r="C39" s="6" t="s">
        <v>1360</v>
      </c>
      <c r="D39" s="6"/>
      <c r="E39" s="6" t="s">
        <v>40</v>
      </c>
      <c r="F39" s="21">
        <v>20041957</v>
      </c>
      <c r="G39" s="21" t="str">
        <f t="shared" si="0"/>
        <v>1957</v>
      </c>
      <c r="H39" s="22">
        <f t="shared" si="1"/>
        <v>69</v>
      </c>
      <c r="I39" s="23"/>
      <c r="J39" s="20" t="s">
        <v>27</v>
      </c>
      <c r="K39" s="6" t="s">
        <v>259</v>
      </c>
      <c r="L39" s="25"/>
      <c r="M39" s="46" t="s">
        <v>1361</v>
      </c>
      <c r="N39" s="6"/>
      <c r="O39" s="6"/>
      <c r="P39" s="6"/>
      <c r="Q39" s="6"/>
      <c r="R39" s="26"/>
      <c r="S39" s="26"/>
      <c r="T39" s="26"/>
      <c r="U39" s="26"/>
      <c r="V39" s="6" t="s">
        <v>1362</v>
      </c>
    </row>
    <row r="40" spans="1:22" s="4" customFormat="1" hidden="1">
      <c r="A40" s="20">
        <v>431</v>
      </c>
      <c r="B40" s="6" t="s">
        <v>1254</v>
      </c>
      <c r="C40" s="6" t="s">
        <v>1363</v>
      </c>
      <c r="D40" s="6"/>
      <c r="E40" s="6" t="s">
        <v>40</v>
      </c>
      <c r="F40" s="21">
        <v>1011964</v>
      </c>
      <c r="G40" s="21" t="str">
        <f t="shared" si="0"/>
        <v>1964</v>
      </c>
      <c r="H40" s="22">
        <f t="shared" si="1"/>
        <v>62</v>
      </c>
      <c r="I40" s="23" t="s">
        <v>27</v>
      </c>
      <c r="J40" s="20"/>
      <c r="K40" s="6" t="s">
        <v>1256</v>
      </c>
      <c r="L40" s="25"/>
      <c r="M40" s="45" t="s">
        <v>1364</v>
      </c>
      <c r="N40" s="6"/>
      <c r="O40" s="6" t="s">
        <v>1365</v>
      </c>
      <c r="P40" s="6">
        <v>170</v>
      </c>
      <c r="Q40" s="6">
        <v>47</v>
      </c>
      <c r="R40" s="26">
        <v>83</v>
      </c>
      <c r="S40" s="26">
        <v>8</v>
      </c>
      <c r="T40" s="26">
        <v>3</v>
      </c>
      <c r="U40" s="26"/>
      <c r="V40" s="6" t="s">
        <v>252</v>
      </c>
    </row>
    <row r="41" spans="1:22" s="4" customFormat="1" hidden="1">
      <c r="A41" s="17">
        <v>432</v>
      </c>
      <c r="B41" s="6" t="s">
        <v>1254</v>
      </c>
      <c r="C41" s="6" t="s">
        <v>1366</v>
      </c>
      <c r="D41" s="6"/>
      <c r="E41" s="6" t="s">
        <v>92</v>
      </c>
      <c r="F41" s="21">
        <v>10041968</v>
      </c>
      <c r="G41" s="21" t="str">
        <f t="shared" si="0"/>
        <v>1968</v>
      </c>
      <c r="H41" s="22">
        <f t="shared" si="1"/>
        <v>58</v>
      </c>
      <c r="I41" s="23" t="s">
        <v>27</v>
      </c>
      <c r="J41" s="20"/>
      <c r="K41" s="6" t="s">
        <v>1256</v>
      </c>
      <c r="L41" s="25"/>
      <c r="M41" s="45" t="s">
        <v>1367</v>
      </c>
      <c r="N41" s="6"/>
      <c r="O41" s="6" t="s">
        <v>1368</v>
      </c>
      <c r="P41" s="6">
        <v>165</v>
      </c>
      <c r="Q41" s="6">
        <v>57</v>
      </c>
      <c r="R41" s="26">
        <v>76</v>
      </c>
      <c r="S41" s="26"/>
      <c r="T41" s="26"/>
      <c r="U41" s="26"/>
      <c r="V41" s="6" t="s">
        <v>252</v>
      </c>
    </row>
    <row r="42" spans="1:22" s="4" customFormat="1" hidden="1">
      <c r="A42" s="20">
        <v>433</v>
      </c>
      <c r="B42" s="6" t="s">
        <v>1254</v>
      </c>
      <c r="C42" s="6" t="s">
        <v>1369</v>
      </c>
      <c r="D42" s="6"/>
      <c r="E42" s="6" t="s">
        <v>302</v>
      </c>
      <c r="F42" s="21">
        <v>7101959</v>
      </c>
      <c r="G42" s="21" t="str">
        <f t="shared" si="0"/>
        <v>1959</v>
      </c>
      <c r="H42" s="22">
        <f t="shared" si="1"/>
        <v>67</v>
      </c>
      <c r="I42" s="23" t="s">
        <v>27</v>
      </c>
      <c r="J42" s="20"/>
      <c r="K42" s="6" t="s">
        <v>1256</v>
      </c>
      <c r="L42" s="25"/>
      <c r="M42" s="45" t="s">
        <v>1371</v>
      </c>
      <c r="N42" s="6"/>
      <c r="O42" s="6" t="s">
        <v>104</v>
      </c>
      <c r="P42" s="6"/>
      <c r="Q42" s="6"/>
      <c r="R42" s="26"/>
      <c r="S42" s="26"/>
      <c r="T42" s="26"/>
      <c r="U42" s="26"/>
      <c r="V42" s="6" t="s">
        <v>252</v>
      </c>
    </row>
    <row r="43" spans="1:22" s="4" customFormat="1" hidden="1">
      <c r="A43" s="17">
        <v>434</v>
      </c>
      <c r="B43" s="6" t="s">
        <v>1254</v>
      </c>
      <c r="C43" s="6" t="s">
        <v>1372</v>
      </c>
      <c r="D43" s="6"/>
      <c r="E43" s="6" t="s">
        <v>302</v>
      </c>
      <c r="F43" s="21">
        <v>20061958</v>
      </c>
      <c r="G43" s="21" t="str">
        <f t="shared" si="0"/>
        <v>1958</v>
      </c>
      <c r="H43" s="22">
        <f t="shared" si="1"/>
        <v>68</v>
      </c>
      <c r="I43" s="23"/>
      <c r="J43" s="20" t="s">
        <v>27</v>
      </c>
      <c r="K43" s="6" t="s">
        <v>1256</v>
      </c>
      <c r="L43" s="25"/>
      <c r="M43" s="45" t="s">
        <v>1373</v>
      </c>
      <c r="N43" s="6"/>
      <c r="O43" s="6" t="s">
        <v>570</v>
      </c>
      <c r="P43" s="6">
        <v>155</v>
      </c>
      <c r="Q43" s="6">
        <v>35</v>
      </c>
      <c r="R43" s="26"/>
      <c r="S43" s="26"/>
      <c r="T43" s="26"/>
      <c r="U43" s="26"/>
      <c r="V43" s="6" t="s">
        <v>252</v>
      </c>
    </row>
    <row r="44" spans="1:22" s="4" customFormat="1" hidden="1">
      <c r="A44" s="20">
        <v>435</v>
      </c>
      <c r="B44" s="6" t="s">
        <v>1254</v>
      </c>
      <c r="C44" s="6" t="s">
        <v>1374</v>
      </c>
      <c r="D44" s="6"/>
      <c r="E44" s="6" t="s">
        <v>40</v>
      </c>
      <c r="F44" s="21">
        <v>1011959</v>
      </c>
      <c r="G44" s="21" t="str">
        <f t="shared" si="0"/>
        <v>1959</v>
      </c>
      <c r="H44" s="22">
        <f t="shared" si="1"/>
        <v>67</v>
      </c>
      <c r="I44" s="23" t="s">
        <v>27</v>
      </c>
      <c r="J44" s="20"/>
      <c r="K44" s="6" t="s">
        <v>1259</v>
      </c>
      <c r="L44" s="25"/>
      <c r="M44" s="45" t="s">
        <v>1375</v>
      </c>
      <c r="N44" s="6"/>
      <c r="O44" s="6" t="s">
        <v>113</v>
      </c>
      <c r="P44" s="6">
        <v>152</v>
      </c>
      <c r="Q44" s="6">
        <v>45</v>
      </c>
      <c r="R44" s="26"/>
      <c r="S44" s="26"/>
      <c r="T44" s="26"/>
      <c r="U44" s="26"/>
      <c r="V44" s="6"/>
    </row>
    <row r="45" spans="1:22" s="4" customFormat="1" hidden="1">
      <c r="A45" s="17">
        <v>436</v>
      </c>
      <c r="B45" s="6" t="s">
        <v>1254</v>
      </c>
      <c r="C45" s="6" t="s">
        <v>1376</v>
      </c>
      <c r="D45" s="6"/>
      <c r="E45" s="6" t="s">
        <v>40</v>
      </c>
      <c r="F45" s="21">
        <v>30041952</v>
      </c>
      <c r="G45" s="21" t="str">
        <f t="shared" si="0"/>
        <v>1952</v>
      </c>
      <c r="H45" s="22">
        <f t="shared" si="1"/>
        <v>74</v>
      </c>
      <c r="I45" s="23" t="s">
        <v>27</v>
      </c>
      <c r="J45" s="20"/>
      <c r="K45" s="6" t="s">
        <v>1259</v>
      </c>
      <c r="L45" s="25"/>
      <c r="M45" s="45" t="s">
        <v>1377</v>
      </c>
      <c r="N45" s="6"/>
      <c r="O45" s="6" t="s">
        <v>113</v>
      </c>
      <c r="P45" s="6">
        <v>150</v>
      </c>
      <c r="Q45" s="6">
        <v>65</v>
      </c>
      <c r="R45" s="26"/>
      <c r="S45" s="26"/>
      <c r="T45" s="26"/>
      <c r="U45" s="26"/>
      <c r="V45" s="6" t="s">
        <v>334</v>
      </c>
    </row>
    <row r="46" spans="1:22" s="4" customFormat="1">
      <c r="A46" s="20">
        <v>437</v>
      </c>
      <c r="B46" s="6" t="s">
        <v>1254</v>
      </c>
      <c r="C46" s="6" t="s">
        <v>708</v>
      </c>
      <c r="D46" s="6"/>
      <c r="E46" s="6" t="s">
        <v>2374</v>
      </c>
      <c r="F46" s="21">
        <v>5061988</v>
      </c>
      <c r="G46" s="21" t="str">
        <f t="shared" si="0"/>
        <v>1988</v>
      </c>
      <c r="H46" s="22">
        <f t="shared" si="1"/>
        <v>38</v>
      </c>
      <c r="I46" s="23" t="s">
        <v>27</v>
      </c>
      <c r="J46" s="20"/>
      <c r="K46" s="6" t="s">
        <v>1256</v>
      </c>
      <c r="L46" s="45" t="s">
        <v>1378</v>
      </c>
      <c r="M46" s="45" t="s">
        <v>1379</v>
      </c>
      <c r="N46" s="6"/>
      <c r="O46" s="6" t="s">
        <v>34</v>
      </c>
      <c r="P46" s="6">
        <v>173</v>
      </c>
      <c r="Q46" s="6">
        <v>65</v>
      </c>
      <c r="R46" s="26"/>
      <c r="S46" s="26"/>
      <c r="T46" s="26"/>
      <c r="U46" s="26"/>
      <c r="V46" s="6"/>
    </row>
    <row r="47" spans="1:22" s="4" customFormat="1">
      <c r="A47" s="17">
        <v>438</v>
      </c>
      <c r="B47" s="6" t="s">
        <v>1254</v>
      </c>
      <c r="C47" s="6" t="s">
        <v>1380</v>
      </c>
      <c r="D47" s="6"/>
      <c r="E47" s="6" t="s">
        <v>2374</v>
      </c>
      <c r="F47" s="21">
        <v>6021981</v>
      </c>
      <c r="G47" s="21" t="str">
        <f t="shared" si="0"/>
        <v>1981</v>
      </c>
      <c r="H47" s="22">
        <f t="shared" si="1"/>
        <v>45</v>
      </c>
      <c r="I47" s="23" t="s">
        <v>27</v>
      </c>
      <c r="J47" s="20"/>
      <c r="K47" s="6" t="s">
        <v>259</v>
      </c>
      <c r="L47" s="25"/>
      <c r="M47" s="45" t="s">
        <v>1381</v>
      </c>
      <c r="N47" s="6"/>
      <c r="O47" s="6" t="s">
        <v>143</v>
      </c>
      <c r="P47" s="6">
        <v>162</v>
      </c>
      <c r="Q47" s="6">
        <v>60</v>
      </c>
      <c r="R47" s="26">
        <v>70</v>
      </c>
      <c r="S47" s="26"/>
      <c r="T47" s="26"/>
      <c r="U47" s="26"/>
      <c r="V47" s="6" t="s">
        <v>252</v>
      </c>
    </row>
    <row r="48" spans="1:22" s="4" customFormat="1" hidden="1">
      <c r="A48" s="20">
        <v>439</v>
      </c>
      <c r="B48" s="6" t="s">
        <v>1254</v>
      </c>
      <c r="C48" s="6" t="s">
        <v>1382</v>
      </c>
      <c r="D48" s="6"/>
      <c r="E48" s="6" t="s">
        <v>40</v>
      </c>
      <c r="F48" s="21">
        <v>1011953</v>
      </c>
      <c r="G48" s="21" t="str">
        <f t="shared" si="0"/>
        <v>1953</v>
      </c>
      <c r="H48" s="22">
        <f t="shared" si="1"/>
        <v>73</v>
      </c>
      <c r="I48" s="23"/>
      <c r="J48" s="20" t="s">
        <v>27</v>
      </c>
      <c r="K48" s="6" t="s">
        <v>259</v>
      </c>
      <c r="L48" s="25"/>
      <c r="M48" s="45" t="s">
        <v>1383</v>
      </c>
      <c r="N48" s="6"/>
      <c r="O48" s="6" t="s">
        <v>570</v>
      </c>
      <c r="P48" s="6">
        <v>155</v>
      </c>
      <c r="Q48" s="6">
        <v>53</v>
      </c>
      <c r="R48" s="26"/>
      <c r="S48" s="26"/>
      <c r="T48" s="26"/>
      <c r="U48" s="26"/>
      <c r="V48" s="6" t="s">
        <v>252</v>
      </c>
    </row>
    <row r="49" spans="1:22" s="4" customFormat="1" hidden="1">
      <c r="A49" s="17">
        <v>440</v>
      </c>
      <c r="B49" s="6" t="s">
        <v>1254</v>
      </c>
      <c r="C49" s="6" t="s">
        <v>1384</v>
      </c>
      <c r="D49" s="6"/>
      <c r="E49" s="6" t="s">
        <v>40</v>
      </c>
      <c r="F49" s="21">
        <v>16041956</v>
      </c>
      <c r="G49" s="21" t="str">
        <f t="shared" si="0"/>
        <v>1956</v>
      </c>
      <c r="H49" s="22">
        <f t="shared" si="1"/>
        <v>70</v>
      </c>
      <c r="I49" s="23" t="s">
        <v>27</v>
      </c>
      <c r="J49" s="20"/>
      <c r="K49" s="6"/>
      <c r="L49" s="25"/>
      <c r="M49" s="45" t="s">
        <v>1385</v>
      </c>
      <c r="N49" s="6"/>
      <c r="O49" s="6" t="s">
        <v>284</v>
      </c>
      <c r="P49" s="6">
        <v>156</v>
      </c>
      <c r="Q49" s="6">
        <v>48</v>
      </c>
      <c r="R49" s="26">
        <v>68</v>
      </c>
      <c r="S49" s="26">
        <v>4</v>
      </c>
      <c r="T49" s="26">
        <v>4</v>
      </c>
      <c r="U49" s="26"/>
      <c r="V49" s="6" t="s">
        <v>1386</v>
      </c>
    </row>
    <row r="50" spans="1:22" s="4" customFormat="1">
      <c r="A50" s="20">
        <v>441</v>
      </c>
      <c r="B50" s="6" t="s">
        <v>1254</v>
      </c>
      <c r="C50" s="6" t="s">
        <v>1387</v>
      </c>
      <c r="D50" s="6"/>
      <c r="E50" s="6" t="s">
        <v>2374</v>
      </c>
      <c r="F50" s="21">
        <v>17092003</v>
      </c>
      <c r="G50" s="21" t="str">
        <f t="shared" si="0"/>
        <v>2003</v>
      </c>
      <c r="H50" s="22">
        <f t="shared" si="1"/>
        <v>23</v>
      </c>
      <c r="I50" s="23"/>
      <c r="J50" s="20" t="s">
        <v>27</v>
      </c>
      <c r="K50" s="6"/>
      <c r="L50" s="25"/>
      <c r="M50" s="45" t="s">
        <v>1388</v>
      </c>
      <c r="N50" s="6"/>
      <c r="O50" s="6" t="s">
        <v>34</v>
      </c>
      <c r="P50" s="6">
        <v>162</v>
      </c>
      <c r="Q50" s="6">
        <v>85</v>
      </c>
      <c r="R50" s="26"/>
      <c r="S50" s="26"/>
      <c r="T50" s="26"/>
      <c r="U50" s="26"/>
      <c r="V50" s="6"/>
    </row>
    <row r="51" spans="1:22" s="4" customFormat="1">
      <c r="A51" s="17">
        <v>442</v>
      </c>
      <c r="B51" s="6" t="s">
        <v>1254</v>
      </c>
      <c r="C51" s="6" t="s">
        <v>1389</v>
      </c>
      <c r="D51" s="6"/>
      <c r="E51" s="6" t="s">
        <v>2374</v>
      </c>
      <c r="F51" s="21">
        <v>8111976</v>
      </c>
      <c r="G51" s="21" t="str">
        <f t="shared" si="0"/>
        <v>1976</v>
      </c>
      <c r="H51" s="22">
        <f t="shared" si="1"/>
        <v>50</v>
      </c>
      <c r="I51" s="23" t="s">
        <v>27</v>
      </c>
      <c r="J51" s="20"/>
      <c r="K51" s="6" t="s">
        <v>1256</v>
      </c>
      <c r="L51" s="25"/>
      <c r="M51" s="45" t="s">
        <v>1390</v>
      </c>
      <c r="N51" s="6"/>
      <c r="O51" s="6" t="s">
        <v>87</v>
      </c>
      <c r="P51" s="6">
        <v>160</v>
      </c>
      <c r="Q51" s="6"/>
      <c r="R51" s="26"/>
      <c r="S51" s="26"/>
      <c r="T51" s="26"/>
      <c r="U51" s="26"/>
      <c r="V51" s="6" t="s">
        <v>1391</v>
      </c>
    </row>
    <row r="52" spans="1:22" s="4" customFormat="1" hidden="1">
      <c r="A52" s="20">
        <v>443</v>
      </c>
      <c r="B52" s="6" t="s">
        <v>1254</v>
      </c>
      <c r="C52" s="6" t="s">
        <v>1392</v>
      </c>
      <c r="D52" s="6"/>
      <c r="E52" s="6" t="s">
        <v>302</v>
      </c>
      <c r="F52" s="21">
        <v>9091943</v>
      </c>
      <c r="G52" s="21" t="str">
        <f t="shared" si="0"/>
        <v>1943</v>
      </c>
      <c r="H52" s="22">
        <f t="shared" si="1"/>
        <v>83</v>
      </c>
      <c r="I52" s="23"/>
      <c r="J52" s="20" t="s">
        <v>27</v>
      </c>
      <c r="K52" s="6" t="s">
        <v>1259</v>
      </c>
      <c r="L52" s="25"/>
      <c r="M52" s="45" t="s">
        <v>1393</v>
      </c>
      <c r="N52" s="6"/>
      <c r="O52" s="6" t="s">
        <v>149</v>
      </c>
      <c r="P52" s="6">
        <v>160</v>
      </c>
      <c r="Q52" s="6">
        <v>62</v>
      </c>
      <c r="R52" s="26">
        <v>85</v>
      </c>
      <c r="S52" s="26"/>
      <c r="T52" s="26"/>
      <c r="U52" s="26"/>
      <c r="V52" s="6" t="s">
        <v>1394</v>
      </c>
    </row>
    <row r="53" spans="1:22" s="4" customFormat="1">
      <c r="A53" s="17">
        <v>444</v>
      </c>
      <c r="B53" s="6" t="s">
        <v>1254</v>
      </c>
      <c r="C53" s="6" t="s">
        <v>1395</v>
      </c>
      <c r="D53" s="6"/>
      <c r="E53" s="6" t="s">
        <v>2374</v>
      </c>
      <c r="F53" s="21">
        <v>10121997</v>
      </c>
      <c r="G53" s="21" t="str">
        <f t="shared" si="0"/>
        <v>1997</v>
      </c>
      <c r="H53" s="22">
        <f t="shared" si="1"/>
        <v>29</v>
      </c>
      <c r="I53" s="23"/>
      <c r="J53" s="20" t="s">
        <v>27</v>
      </c>
      <c r="K53" s="6" t="s">
        <v>1357</v>
      </c>
      <c r="L53" s="25"/>
      <c r="M53" s="45" t="s">
        <v>1396</v>
      </c>
      <c r="N53" s="6"/>
      <c r="O53" s="6" t="s">
        <v>113</v>
      </c>
      <c r="P53" s="6">
        <v>170</v>
      </c>
      <c r="Q53" s="6">
        <v>68</v>
      </c>
      <c r="R53" s="26"/>
      <c r="S53" s="26">
        <v>10</v>
      </c>
      <c r="T53" s="26">
        <v>10</v>
      </c>
      <c r="U53" s="26"/>
      <c r="V53" s="6"/>
    </row>
    <row r="54" spans="1:22" s="4" customFormat="1">
      <c r="A54" s="20">
        <v>445</v>
      </c>
      <c r="B54" s="6" t="s">
        <v>1254</v>
      </c>
      <c r="C54" s="6" t="s">
        <v>1397</v>
      </c>
      <c r="D54" s="6"/>
      <c r="E54" s="6" t="s">
        <v>2374</v>
      </c>
      <c r="F54" s="21">
        <v>15112003</v>
      </c>
      <c r="G54" s="21" t="str">
        <f t="shared" si="0"/>
        <v>2003</v>
      </c>
      <c r="H54" s="22">
        <f t="shared" si="1"/>
        <v>23</v>
      </c>
      <c r="I54" s="23" t="s">
        <v>27</v>
      </c>
      <c r="J54" s="20"/>
      <c r="K54" s="6"/>
      <c r="L54" s="25"/>
      <c r="M54" s="45" t="s">
        <v>1398</v>
      </c>
      <c r="N54" s="6"/>
      <c r="O54" s="6" t="s">
        <v>87</v>
      </c>
      <c r="P54" s="6">
        <v>163</v>
      </c>
      <c r="Q54" s="6">
        <v>55</v>
      </c>
      <c r="R54" s="26">
        <v>68</v>
      </c>
      <c r="S54" s="26">
        <v>10</v>
      </c>
      <c r="T54" s="26">
        <v>10</v>
      </c>
      <c r="U54" s="26"/>
      <c r="V54" s="6"/>
    </row>
    <row r="55" spans="1:22" s="4" customFormat="1" hidden="1">
      <c r="A55" s="17">
        <v>446</v>
      </c>
      <c r="B55" s="6" t="s">
        <v>1254</v>
      </c>
      <c r="C55" s="6" t="s">
        <v>1399</v>
      </c>
      <c r="D55" s="6"/>
      <c r="E55" s="6" t="s">
        <v>40</v>
      </c>
      <c r="F55" s="21">
        <v>1011941</v>
      </c>
      <c r="G55" s="21" t="str">
        <f t="shared" si="0"/>
        <v>1941</v>
      </c>
      <c r="H55" s="22">
        <f t="shared" si="1"/>
        <v>85</v>
      </c>
      <c r="I55" s="23"/>
      <c r="J55" s="20" t="s">
        <v>27</v>
      </c>
      <c r="K55" s="6" t="s">
        <v>1256</v>
      </c>
      <c r="L55" s="25"/>
      <c r="M55" s="45" t="s">
        <v>1400</v>
      </c>
      <c r="N55" s="6"/>
      <c r="O55" s="6" t="s">
        <v>146</v>
      </c>
      <c r="P55" s="6">
        <v>140</v>
      </c>
      <c r="Q55" s="6">
        <v>42</v>
      </c>
      <c r="R55" s="26">
        <v>70</v>
      </c>
      <c r="S55" s="26">
        <v>8</v>
      </c>
      <c r="T55" s="26">
        <v>4</v>
      </c>
      <c r="U55" s="26"/>
      <c r="V55" s="6" t="s">
        <v>1401</v>
      </c>
    </row>
    <row r="56" spans="1:22" s="4" customFormat="1" hidden="1">
      <c r="A56" s="20">
        <v>447</v>
      </c>
      <c r="B56" s="6" t="s">
        <v>1254</v>
      </c>
      <c r="C56" s="6" t="s">
        <v>1402</v>
      </c>
      <c r="D56" s="6"/>
      <c r="E56" s="6" t="s">
        <v>40</v>
      </c>
      <c r="F56" s="21">
        <v>10121964</v>
      </c>
      <c r="G56" s="21" t="str">
        <f t="shared" si="0"/>
        <v>1964</v>
      </c>
      <c r="H56" s="22">
        <f t="shared" si="1"/>
        <v>62</v>
      </c>
      <c r="I56" s="23"/>
      <c r="J56" s="20" t="s">
        <v>27</v>
      </c>
      <c r="K56" s="6" t="s">
        <v>259</v>
      </c>
      <c r="L56" s="25"/>
      <c r="M56" s="45" t="s">
        <v>1403</v>
      </c>
      <c r="N56" s="6"/>
      <c r="O56" s="6" t="s">
        <v>143</v>
      </c>
      <c r="P56" s="6">
        <v>145</v>
      </c>
      <c r="Q56" s="6">
        <v>42</v>
      </c>
      <c r="R56" s="26">
        <v>78</v>
      </c>
      <c r="S56" s="26">
        <v>8</v>
      </c>
      <c r="T56" s="26">
        <v>8</v>
      </c>
      <c r="U56" s="26"/>
      <c r="V56" s="6" t="s">
        <v>1306</v>
      </c>
    </row>
    <row r="57" spans="1:22" s="4" customFormat="1" hidden="1">
      <c r="A57" s="17">
        <v>448</v>
      </c>
      <c r="B57" s="6" t="s">
        <v>1254</v>
      </c>
      <c r="C57" s="6" t="s">
        <v>1404</v>
      </c>
      <c r="D57" s="6"/>
      <c r="E57" s="6" t="s">
        <v>40</v>
      </c>
      <c r="F57" s="21">
        <v>20101949</v>
      </c>
      <c r="G57" s="21" t="str">
        <f t="shared" si="0"/>
        <v>1949</v>
      </c>
      <c r="H57" s="22">
        <f t="shared" si="1"/>
        <v>77</v>
      </c>
      <c r="I57" s="23"/>
      <c r="J57" s="20" t="s">
        <v>27</v>
      </c>
      <c r="K57" s="6" t="s">
        <v>1259</v>
      </c>
      <c r="L57" s="25"/>
      <c r="M57" s="45" t="s">
        <v>1405</v>
      </c>
      <c r="N57" s="6"/>
      <c r="O57" s="6" t="s">
        <v>87</v>
      </c>
      <c r="P57" s="6"/>
      <c r="Q57" s="6"/>
      <c r="R57" s="26">
        <v>72</v>
      </c>
      <c r="S57" s="26"/>
      <c r="T57" s="26"/>
      <c r="U57" s="26"/>
      <c r="V57" s="6" t="s">
        <v>334</v>
      </c>
    </row>
    <row r="58" spans="1:22" s="4" customFormat="1" hidden="1">
      <c r="A58" s="20">
        <v>449</v>
      </c>
      <c r="B58" s="6" t="s">
        <v>1254</v>
      </c>
      <c r="C58" s="6" t="s">
        <v>1406</v>
      </c>
      <c r="D58" s="6"/>
      <c r="E58" s="6" t="s">
        <v>40</v>
      </c>
      <c r="F58" s="21">
        <v>15041963</v>
      </c>
      <c r="G58" s="21" t="str">
        <f t="shared" si="0"/>
        <v>1963</v>
      </c>
      <c r="H58" s="22">
        <f t="shared" si="1"/>
        <v>63</v>
      </c>
      <c r="I58" s="23"/>
      <c r="J58" s="20" t="s">
        <v>27</v>
      </c>
      <c r="K58" s="6" t="s">
        <v>259</v>
      </c>
      <c r="L58" s="25"/>
      <c r="M58" s="45" t="s">
        <v>1407</v>
      </c>
      <c r="N58" s="6"/>
      <c r="O58" s="6" t="s">
        <v>87</v>
      </c>
      <c r="P58" s="6">
        <v>147</v>
      </c>
      <c r="Q58" s="6">
        <v>51</v>
      </c>
      <c r="R58" s="26"/>
      <c r="S58" s="26"/>
      <c r="T58" s="26"/>
      <c r="U58" s="26"/>
      <c r="V58" s="6"/>
    </row>
    <row r="59" spans="1:22" s="4" customFormat="1" hidden="1">
      <c r="A59" s="17">
        <v>450</v>
      </c>
      <c r="B59" s="6" t="s">
        <v>1254</v>
      </c>
      <c r="C59" s="6" t="s">
        <v>1408</v>
      </c>
      <c r="D59" s="6"/>
      <c r="E59" s="6" t="s">
        <v>40</v>
      </c>
      <c r="F59" s="21">
        <v>24031959</v>
      </c>
      <c r="G59" s="21" t="str">
        <f t="shared" si="0"/>
        <v>1959</v>
      </c>
      <c r="H59" s="22">
        <f t="shared" si="1"/>
        <v>67</v>
      </c>
      <c r="I59" s="23" t="s">
        <v>27</v>
      </c>
      <c r="J59" s="20"/>
      <c r="K59" s="6" t="s">
        <v>259</v>
      </c>
      <c r="L59" s="25"/>
      <c r="M59" s="45" t="s">
        <v>1409</v>
      </c>
      <c r="N59" s="6"/>
      <c r="O59" s="6" t="s">
        <v>687</v>
      </c>
      <c r="P59" s="6">
        <v>156</v>
      </c>
      <c r="Q59" s="6">
        <v>48</v>
      </c>
      <c r="R59" s="26"/>
      <c r="S59" s="26"/>
      <c r="T59" s="26"/>
      <c r="U59" s="26"/>
      <c r="V59" s="6" t="s">
        <v>252</v>
      </c>
    </row>
    <row r="60" spans="1:22" s="4" customFormat="1">
      <c r="A60" s="20">
        <v>451</v>
      </c>
      <c r="B60" s="6" t="s">
        <v>1254</v>
      </c>
      <c r="C60" s="6" t="s">
        <v>1410</v>
      </c>
      <c r="D60" s="6"/>
      <c r="E60" s="6" t="s">
        <v>2374</v>
      </c>
      <c r="F60" s="21">
        <v>12122007</v>
      </c>
      <c r="G60" s="21" t="str">
        <f t="shared" si="0"/>
        <v>2007</v>
      </c>
      <c r="H60" s="22">
        <f t="shared" si="1"/>
        <v>19</v>
      </c>
      <c r="I60" s="23" t="s">
        <v>27</v>
      </c>
      <c r="J60" s="20"/>
      <c r="K60" s="6" t="s">
        <v>1256</v>
      </c>
      <c r="L60" s="25"/>
      <c r="M60" s="45" t="s">
        <v>1411</v>
      </c>
      <c r="N60" s="6"/>
      <c r="O60" s="6" t="s">
        <v>504</v>
      </c>
      <c r="P60" s="6">
        <v>170</v>
      </c>
      <c r="Q60" s="6">
        <v>55</v>
      </c>
      <c r="R60" s="26"/>
      <c r="S60" s="26"/>
      <c r="T60" s="26"/>
      <c r="U60" s="26"/>
      <c r="V60" s="6"/>
    </row>
    <row r="61" spans="1:22" s="4" customFormat="1" hidden="1">
      <c r="A61" s="17">
        <v>452</v>
      </c>
      <c r="B61" s="6" t="s">
        <v>1254</v>
      </c>
      <c r="C61" s="6" t="s">
        <v>1412</v>
      </c>
      <c r="D61" s="6"/>
      <c r="E61" s="6" t="s">
        <v>40</v>
      </c>
      <c r="F61" s="21">
        <v>1011939</v>
      </c>
      <c r="G61" s="21" t="str">
        <f t="shared" si="0"/>
        <v>1939</v>
      </c>
      <c r="H61" s="22">
        <f t="shared" si="1"/>
        <v>87</v>
      </c>
      <c r="I61" s="23" t="s">
        <v>27</v>
      </c>
      <c r="J61" s="20"/>
      <c r="K61" s="6" t="s">
        <v>259</v>
      </c>
      <c r="L61" s="25"/>
      <c r="M61" s="45" t="s">
        <v>1413</v>
      </c>
      <c r="N61" s="6"/>
      <c r="O61" s="6" t="s">
        <v>60</v>
      </c>
      <c r="P61" s="6">
        <v>165</v>
      </c>
      <c r="Q61" s="6">
        <v>50</v>
      </c>
      <c r="R61" s="26"/>
      <c r="S61" s="26"/>
      <c r="T61" s="26"/>
      <c r="U61" s="26"/>
      <c r="V61" s="6"/>
    </row>
    <row r="62" spans="1:22" s="4" customFormat="1">
      <c r="A62" s="20">
        <v>453</v>
      </c>
      <c r="B62" s="6" t="s">
        <v>1254</v>
      </c>
      <c r="C62" s="6" t="s">
        <v>1414</v>
      </c>
      <c r="D62" s="6"/>
      <c r="E62" s="6" t="s">
        <v>2374</v>
      </c>
      <c r="F62" s="21">
        <v>14052008</v>
      </c>
      <c r="G62" s="21" t="str">
        <f t="shared" si="0"/>
        <v>2008</v>
      </c>
      <c r="H62" s="22">
        <f t="shared" si="1"/>
        <v>18</v>
      </c>
      <c r="I62" s="23" t="s">
        <v>27</v>
      </c>
      <c r="J62" s="20"/>
      <c r="K62" s="6" t="s">
        <v>259</v>
      </c>
      <c r="L62" s="25"/>
      <c r="M62" s="45" t="s">
        <v>1415</v>
      </c>
      <c r="N62" s="6"/>
      <c r="O62" s="6" t="s">
        <v>504</v>
      </c>
      <c r="P62" s="6">
        <v>170</v>
      </c>
      <c r="Q62" s="6">
        <v>57</v>
      </c>
      <c r="R62" s="26"/>
      <c r="S62" s="26"/>
      <c r="T62" s="26"/>
      <c r="U62" s="26"/>
      <c r="V62" s="6"/>
    </row>
    <row r="63" spans="1:22" s="4" customFormat="1">
      <c r="A63" s="17">
        <v>454</v>
      </c>
      <c r="B63" s="6" t="s">
        <v>1254</v>
      </c>
      <c r="C63" s="6" t="s">
        <v>1416</v>
      </c>
      <c r="D63" s="6"/>
      <c r="E63" s="6" t="s">
        <v>2374</v>
      </c>
      <c r="F63" s="21">
        <v>22031999</v>
      </c>
      <c r="G63" s="21" t="str">
        <f t="shared" si="0"/>
        <v>1999</v>
      </c>
      <c r="H63" s="22">
        <f t="shared" si="1"/>
        <v>27</v>
      </c>
      <c r="I63" s="23"/>
      <c r="J63" s="20" t="s">
        <v>27</v>
      </c>
      <c r="K63" s="6" t="s">
        <v>1357</v>
      </c>
      <c r="L63" s="25"/>
      <c r="M63" s="45" t="s">
        <v>1417</v>
      </c>
      <c r="N63" s="6"/>
      <c r="O63" s="6" t="s">
        <v>504</v>
      </c>
      <c r="P63" s="6">
        <v>153</v>
      </c>
      <c r="Q63" s="6">
        <v>63</v>
      </c>
      <c r="R63" s="26"/>
      <c r="S63" s="26"/>
      <c r="T63" s="26"/>
      <c r="U63" s="26"/>
      <c r="V63" s="6"/>
    </row>
    <row r="64" spans="1:22" s="4" customFormat="1">
      <c r="A64" s="20">
        <v>455</v>
      </c>
      <c r="B64" s="6" t="s">
        <v>1254</v>
      </c>
      <c r="C64" s="6" t="s">
        <v>1418</v>
      </c>
      <c r="D64" s="6"/>
      <c r="E64" s="6" t="s">
        <v>2374</v>
      </c>
      <c r="F64" s="21">
        <v>1061970</v>
      </c>
      <c r="G64" s="21" t="str">
        <f t="shared" si="0"/>
        <v>1970</v>
      </c>
      <c r="H64" s="22">
        <f t="shared" si="1"/>
        <v>56</v>
      </c>
      <c r="I64" s="23"/>
      <c r="J64" s="20" t="s">
        <v>27</v>
      </c>
      <c r="K64" s="6" t="s">
        <v>1357</v>
      </c>
      <c r="L64" s="25"/>
      <c r="M64" s="45" t="s">
        <v>1419</v>
      </c>
      <c r="N64" s="6"/>
      <c r="O64" s="6" t="s">
        <v>87</v>
      </c>
      <c r="P64" s="6">
        <v>160</v>
      </c>
      <c r="Q64" s="6">
        <v>65</v>
      </c>
      <c r="R64" s="26"/>
      <c r="S64" s="26"/>
      <c r="T64" s="26"/>
      <c r="U64" s="26"/>
      <c r="V64" s="6" t="s">
        <v>334</v>
      </c>
    </row>
    <row r="65" spans="1:22" s="4" customFormat="1">
      <c r="A65" s="17">
        <v>456</v>
      </c>
      <c r="B65" s="6" t="s">
        <v>1254</v>
      </c>
      <c r="C65" s="6" t="s">
        <v>1420</v>
      </c>
      <c r="D65" s="6"/>
      <c r="E65" s="6" t="s">
        <v>2374</v>
      </c>
      <c r="F65" s="21">
        <v>1121968</v>
      </c>
      <c r="G65" s="21" t="str">
        <f t="shared" si="0"/>
        <v>1968</v>
      </c>
      <c r="H65" s="22">
        <f t="shared" si="1"/>
        <v>58</v>
      </c>
      <c r="I65" s="23" t="s">
        <v>27</v>
      </c>
      <c r="J65" s="20"/>
      <c r="K65" s="6" t="s">
        <v>1357</v>
      </c>
      <c r="L65" s="25"/>
      <c r="M65" s="45" t="s">
        <v>1421</v>
      </c>
      <c r="N65" s="6"/>
      <c r="O65" s="6" t="s">
        <v>34</v>
      </c>
      <c r="P65" s="6">
        <v>168</v>
      </c>
      <c r="Q65" s="6">
        <v>55</v>
      </c>
      <c r="R65" s="26">
        <v>87</v>
      </c>
      <c r="S65" s="26">
        <v>8</v>
      </c>
      <c r="T65" s="26">
        <v>8</v>
      </c>
      <c r="U65" s="26"/>
      <c r="V65" s="6" t="s">
        <v>604</v>
      </c>
    </row>
    <row r="66" spans="1:22" s="4" customFormat="1">
      <c r="A66" s="20">
        <v>457</v>
      </c>
      <c r="B66" s="6" t="s">
        <v>1254</v>
      </c>
      <c r="C66" s="6" t="s">
        <v>1422</v>
      </c>
      <c r="D66" s="6"/>
      <c r="E66" s="6" t="s">
        <v>2374</v>
      </c>
      <c r="F66" s="21">
        <v>20011991</v>
      </c>
      <c r="G66" s="21" t="str">
        <f t="shared" si="0"/>
        <v>1991</v>
      </c>
      <c r="H66" s="22">
        <f t="shared" si="1"/>
        <v>35</v>
      </c>
      <c r="I66" s="23"/>
      <c r="J66" s="20" t="s">
        <v>27</v>
      </c>
      <c r="K66" s="6" t="s">
        <v>1423</v>
      </c>
      <c r="L66" s="25"/>
      <c r="M66" s="45" t="s">
        <v>1424</v>
      </c>
      <c r="N66" s="6"/>
      <c r="O66" s="6" t="s">
        <v>1425</v>
      </c>
      <c r="P66" s="6">
        <v>168</v>
      </c>
      <c r="Q66" s="6">
        <v>65</v>
      </c>
      <c r="R66" s="26">
        <v>80</v>
      </c>
      <c r="S66" s="26">
        <v>10</v>
      </c>
      <c r="T66" s="26">
        <v>10</v>
      </c>
      <c r="U66" s="26"/>
      <c r="V66" s="6"/>
    </row>
    <row r="67" spans="1:22" s="4" customFormat="1">
      <c r="A67" s="17">
        <v>458</v>
      </c>
      <c r="B67" s="6" t="s">
        <v>1254</v>
      </c>
      <c r="C67" s="6" t="s">
        <v>1426</v>
      </c>
      <c r="D67" s="6"/>
      <c r="E67" s="6" t="s">
        <v>2374</v>
      </c>
      <c r="F67" s="21">
        <v>19051974</v>
      </c>
      <c r="G67" s="21" t="str">
        <f t="shared" ref="G67:G130" si="2">RIGHT(F67,4)</f>
        <v>1974</v>
      </c>
      <c r="H67" s="22">
        <f t="shared" ref="H67:H130" si="3">2026-G67</f>
        <v>52</v>
      </c>
      <c r="I67" s="23"/>
      <c r="J67" s="20" t="s">
        <v>27</v>
      </c>
      <c r="K67" s="6" t="s">
        <v>1357</v>
      </c>
      <c r="L67" s="25"/>
      <c r="M67" s="45" t="s">
        <v>1427</v>
      </c>
      <c r="N67" s="6"/>
      <c r="O67" s="6" t="s">
        <v>634</v>
      </c>
      <c r="P67" s="6">
        <v>148</v>
      </c>
      <c r="Q67" s="6">
        <v>53</v>
      </c>
      <c r="R67" s="26">
        <v>80</v>
      </c>
      <c r="S67" s="26">
        <v>10</v>
      </c>
      <c r="T67" s="26">
        <v>10</v>
      </c>
      <c r="U67" s="26"/>
      <c r="V67" s="6"/>
    </row>
    <row r="68" spans="1:22" s="4" customFormat="1">
      <c r="A68" s="20">
        <v>459</v>
      </c>
      <c r="B68" s="6" t="s">
        <v>1254</v>
      </c>
      <c r="C68" s="6" t="s">
        <v>1428</v>
      </c>
      <c r="D68" s="6"/>
      <c r="E68" s="6" t="s">
        <v>2374</v>
      </c>
      <c r="F68" s="21">
        <v>31081972</v>
      </c>
      <c r="G68" s="21" t="str">
        <f t="shared" si="2"/>
        <v>1972</v>
      </c>
      <c r="H68" s="22">
        <f t="shared" si="3"/>
        <v>54</v>
      </c>
      <c r="I68" s="23" t="s">
        <v>27</v>
      </c>
      <c r="J68" s="20"/>
      <c r="K68" s="6" t="s">
        <v>1357</v>
      </c>
      <c r="L68" s="25"/>
      <c r="M68" s="45" t="s">
        <v>1429</v>
      </c>
      <c r="N68" s="6"/>
      <c r="O68" s="6" t="s">
        <v>634</v>
      </c>
      <c r="P68" s="6">
        <v>170</v>
      </c>
      <c r="Q68" s="6">
        <v>60</v>
      </c>
      <c r="R68" s="26">
        <v>80</v>
      </c>
      <c r="S68" s="26">
        <v>10</v>
      </c>
      <c r="T68" s="26">
        <v>10</v>
      </c>
      <c r="U68" s="26"/>
      <c r="V68" s="6"/>
    </row>
    <row r="69" spans="1:22" s="4" customFormat="1">
      <c r="A69" s="17">
        <v>460</v>
      </c>
      <c r="B69" s="6" t="s">
        <v>1254</v>
      </c>
      <c r="C69" s="6" t="s">
        <v>1430</v>
      </c>
      <c r="D69" s="6"/>
      <c r="E69" s="6" t="s">
        <v>2374</v>
      </c>
      <c r="F69" s="21">
        <v>4102005</v>
      </c>
      <c r="G69" s="21" t="str">
        <f t="shared" si="2"/>
        <v>2005</v>
      </c>
      <c r="H69" s="22">
        <f t="shared" si="3"/>
        <v>21</v>
      </c>
      <c r="I69" s="23" t="s">
        <v>27</v>
      </c>
      <c r="J69" s="20"/>
      <c r="K69" s="6" t="s">
        <v>1357</v>
      </c>
      <c r="L69" s="25"/>
      <c r="M69" s="45" t="s">
        <v>1431</v>
      </c>
      <c r="N69" s="6"/>
      <c r="O69" s="6" t="s">
        <v>634</v>
      </c>
      <c r="P69" s="6">
        <v>168</v>
      </c>
      <c r="Q69" s="6">
        <v>65</v>
      </c>
      <c r="R69" s="26">
        <v>80</v>
      </c>
      <c r="S69" s="26"/>
      <c r="T69" s="26"/>
      <c r="U69" s="26"/>
      <c r="V69" s="6"/>
    </row>
    <row r="70" spans="1:22" s="4" customFormat="1">
      <c r="A70" s="20">
        <v>461</v>
      </c>
      <c r="B70" s="6" t="s">
        <v>1254</v>
      </c>
      <c r="C70" s="6" t="s">
        <v>1432</v>
      </c>
      <c r="D70" s="6"/>
      <c r="E70" s="6" t="s">
        <v>2374</v>
      </c>
      <c r="F70" s="21">
        <v>17022000</v>
      </c>
      <c r="G70" s="21" t="str">
        <f t="shared" si="2"/>
        <v>2000</v>
      </c>
      <c r="H70" s="22">
        <f t="shared" si="3"/>
        <v>26</v>
      </c>
      <c r="I70" s="23"/>
      <c r="J70" s="20" t="s">
        <v>27</v>
      </c>
      <c r="K70" s="6"/>
      <c r="L70" s="25"/>
      <c r="M70" s="45" t="s">
        <v>1433</v>
      </c>
      <c r="N70" s="6"/>
      <c r="O70" s="6" t="s">
        <v>30</v>
      </c>
      <c r="P70" s="6">
        <v>152</v>
      </c>
      <c r="Q70" s="6">
        <v>55</v>
      </c>
      <c r="R70" s="26">
        <v>92</v>
      </c>
      <c r="S70" s="26">
        <v>10</v>
      </c>
      <c r="T70" s="26">
        <v>10</v>
      </c>
      <c r="U70" s="26"/>
      <c r="V70" s="6"/>
    </row>
    <row r="71" spans="1:22" s="4" customFormat="1">
      <c r="A71" s="17">
        <v>462</v>
      </c>
      <c r="B71" s="6" t="s">
        <v>1254</v>
      </c>
      <c r="C71" s="6" t="s">
        <v>1434</v>
      </c>
      <c r="D71" s="6"/>
      <c r="E71" s="6" t="s">
        <v>2374</v>
      </c>
      <c r="F71" s="21">
        <v>20041970</v>
      </c>
      <c r="G71" s="21" t="str">
        <f t="shared" si="2"/>
        <v>1970</v>
      </c>
      <c r="H71" s="22">
        <f t="shared" si="3"/>
        <v>56</v>
      </c>
      <c r="I71" s="23" t="s">
        <v>27</v>
      </c>
      <c r="J71" s="20"/>
      <c r="K71" s="6" t="s">
        <v>1357</v>
      </c>
      <c r="L71" s="25"/>
      <c r="M71" s="45" t="s">
        <v>1435</v>
      </c>
      <c r="N71" s="6"/>
      <c r="O71" s="6" t="s">
        <v>570</v>
      </c>
      <c r="P71" s="6">
        <v>162</v>
      </c>
      <c r="Q71" s="6">
        <v>56</v>
      </c>
      <c r="R71" s="26">
        <v>80</v>
      </c>
      <c r="S71" s="26"/>
      <c r="T71" s="26"/>
      <c r="U71" s="26"/>
      <c r="V71" s="6" t="s">
        <v>334</v>
      </c>
    </row>
    <row r="72" spans="1:22" s="4" customFormat="1" hidden="1">
      <c r="A72" s="20">
        <v>463</v>
      </c>
      <c r="B72" s="6" t="s">
        <v>1254</v>
      </c>
      <c r="C72" s="6" t="s">
        <v>1436</v>
      </c>
      <c r="D72" s="6"/>
      <c r="E72" s="6" t="s">
        <v>40</v>
      </c>
      <c r="F72" s="21">
        <v>1011953</v>
      </c>
      <c r="G72" s="21" t="str">
        <f t="shared" si="2"/>
        <v>1953</v>
      </c>
      <c r="H72" s="22">
        <f t="shared" si="3"/>
        <v>73</v>
      </c>
      <c r="I72" s="23"/>
      <c r="J72" s="20" t="s">
        <v>27</v>
      </c>
      <c r="K72" s="6" t="s">
        <v>1357</v>
      </c>
      <c r="L72" s="25"/>
      <c r="M72" s="45" t="s">
        <v>1437</v>
      </c>
      <c r="N72" s="6"/>
      <c r="O72" s="6" t="s">
        <v>34</v>
      </c>
      <c r="P72" s="6">
        <v>160</v>
      </c>
      <c r="Q72" s="6">
        <v>42</v>
      </c>
      <c r="R72" s="26">
        <v>80</v>
      </c>
      <c r="S72" s="26"/>
      <c r="T72" s="26"/>
      <c r="U72" s="26"/>
      <c r="V72" s="6" t="s">
        <v>334</v>
      </c>
    </row>
    <row r="73" spans="1:22" s="4" customFormat="1">
      <c r="A73" s="17">
        <v>464</v>
      </c>
      <c r="B73" s="6" t="s">
        <v>1254</v>
      </c>
      <c r="C73" s="6" t="s">
        <v>1438</v>
      </c>
      <c r="D73" s="6"/>
      <c r="E73" s="6" t="s">
        <v>2374</v>
      </c>
      <c r="F73" s="21">
        <v>4041974</v>
      </c>
      <c r="G73" s="21" t="str">
        <f t="shared" si="2"/>
        <v>1974</v>
      </c>
      <c r="H73" s="22">
        <f t="shared" si="3"/>
        <v>52</v>
      </c>
      <c r="I73" s="23" t="s">
        <v>27</v>
      </c>
      <c r="J73" s="20"/>
      <c r="K73" s="6" t="s">
        <v>1357</v>
      </c>
      <c r="L73" s="25"/>
      <c r="M73" s="45" t="s">
        <v>1439</v>
      </c>
      <c r="N73" s="6"/>
      <c r="O73" s="6" t="s">
        <v>42</v>
      </c>
      <c r="P73" s="6">
        <v>165</v>
      </c>
      <c r="Q73" s="6">
        <v>50</v>
      </c>
      <c r="R73" s="26">
        <v>80</v>
      </c>
      <c r="S73" s="26"/>
      <c r="T73" s="26"/>
      <c r="U73" s="26"/>
      <c r="V73" s="6" t="s">
        <v>1440</v>
      </c>
    </row>
    <row r="74" spans="1:22" s="4" customFormat="1" hidden="1">
      <c r="A74" s="20">
        <v>465</v>
      </c>
      <c r="B74" s="6" t="s">
        <v>1254</v>
      </c>
      <c r="C74" s="6" t="s">
        <v>1441</v>
      </c>
      <c r="D74" s="6"/>
      <c r="E74" s="6" t="s">
        <v>40</v>
      </c>
      <c r="F74" s="21">
        <v>2051954</v>
      </c>
      <c r="G74" s="21" t="str">
        <f t="shared" si="2"/>
        <v>1954</v>
      </c>
      <c r="H74" s="22">
        <f t="shared" si="3"/>
        <v>72</v>
      </c>
      <c r="I74" s="23"/>
      <c r="J74" s="20" t="s">
        <v>27</v>
      </c>
      <c r="K74" s="6"/>
      <c r="L74" s="25"/>
      <c r="M74" s="45" t="s">
        <v>1442</v>
      </c>
      <c r="N74" s="6"/>
      <c r="O74" s="6"/>
      <c r="P74" s="6"/>
      <c r="Q74" s="6"/>
      <c r="R74" s="26"/>
      <c r="S74" s="26"/>
      <c r="T74" s="26"/>
      <c r="U74" s="26"/>
      <c r="V74" s="26"/>
    </row>
    <row r="75" spans="1:22" s="4" customFormat="1" hidden="1">
      <c r="A75" s="17">
        <v>466</v>
      </c>
      <c r="B75" s="6" t="s">
        <v>1254</v>
      </c>
      <c r="C75" s="6" t="s">
        <v>1443</v>
      </c>
      <c r="D75" s="6"/>
      <c r="E75" s="6" t="s">
        <v>40</v>
      </c>
      <c r="F75" s="21">
        <v>18031954</v>
      </c>
      <c r="G75" s="21" t="str">
        <f t="shared" si="2"/>
        <v>1954</v>
      </c>
      <c r="H75" s="22">
        <f t="shared" si="3"/>
        <v>72</v>
      </c>
      <c r="I75" s="23"/>
      <c r="J75" s="20" t="s">
        <v>27</v>
      </c>
      <c r="K75" s="6"/>
      <c r="L75" s="25"/>
      <c r="M75" s="45" t="s">
        <v>1444</v>
      </c>
      <c r="N75" s="6"/>
      <c r="O75" s="6"/>
      <c r="P75" s="6"/>
      <c r="Q75" s="6"/>
      <c r="R75" s="26"/>
      <c r="S75" s="26"/>
      <c r="T75" s="26"/>
      <c r="U75" s="26"/>
      <c r="V75" s="6" t="s">
        <v>252</v>
      </c>
    </row>
    <row r="76" spans="1:22" s="4" customFormat="1">
      <c r="A76" s="20">
        <v>467</v>
      </c>
      <c r="B76" s="6" t="s">
        <v>1254</v>
      </c>
      <c r="C76" s="6" t="s">
        <v>1445</v>
      </c>
      <c r="D76" s="6"/>
      <c r="E76" s="6" t="s">
        <v>2374</v>
      </c>
      <c r="F76" s="21">
        <v>1111977</v>
      </c>
      <c r="G76" s="21" t="str">
        <f t="shared" si="2"/>
        <v>1977</v>
      </c>
      <c r="H76" s="22">
        <f t="shared" si="3"/>
        <v>49</v>
      </c>
      <c r="I76" s="23"/>
      <c r="J76" s="20" t="s">
        <v>27</v>
      </c>
      <c r="K76" s="6"/>
      <c r="L76" s="25"/>
      <c r="M76" s="45" t="s">
        <v>1446</v>
      </c>
      <c r="N76" s="6"/>
      <c r="O76" s="6"/>
      <c r="P76" s="6"/>
      <c r="Q76" s="6"/>
      <c r="R76" s="26"/>
      <c r="S76" s="26"/>
      <c r="T76" s="26"/>
      <c r="U76" s="26"/>
      <c r="V76" s="6"/>
    </row>
    <row r="77" spans="1:22" s="4" customFormat="1" hidden="1">
      <c r="A77" s="17">
        <v>468</v>
      </c>
      <c r="B77" s="6" t="s">
        <v>1254</v>
      </c>
      <c r="C77" s="6" t="s">
        <v>1447</v>
      </c>
      <c r="D77" s="6"/>
      <c r="E77" s="6" t="s">
        <v>40</v>
      </c>
      <c r="F77" s="21">
        <v>10061942</v>
      </c>
      <c r="G77" s="21" t="str">
        <f t="shared" si="2"/>
        <v>1942</v>
      </c>
      <c r="H77" s="22">
        <f t="shared" si="3"/>
        <v>84</v>
      </c>
      <c r="I77" s="23"/>
      <c r="J77" s="20" t="s">
        <v>27</v>
      </c>
      <c r="K77" s="6"/>
      <c r="L77" s="25"/>
      <c r="M77" s="45" t="s">
        <v>1448</v>
      </c>
      <c r="N77" s="6"/>
      <c r="O77" s="6"/>
      <c r="P77" s="6"/>
      <c r="Q77" s="6"/>
      <c r="R77" s="26"/>
      <c r="S77" s="26"/>
      <c r="T77" s="26"/>
      <c r="U77" s="26"/>
      <c r="V77" s="6" t="s">
        <v>1449</v>
      </c>
    </row>
    <row r="78" spans="1:22" s="4" customFormat="1" hidden="1">
      <c r="A78" s="20">
        <v>469</v>
      </c>
      <c r="B78" s="6" t="s">
        <v>1254</v>
      </c>
      <c r="C78" s="6" t="s">
        <v>1450</v>
      </c>
      <c r="D78" s="6"/>
      <c r="E78" s="6" t="s">
        <v>40</v>
      </c>
      <c r="F78" s="21">
        <v>1021965</v>
      </c>
      <c r="G78" s="21" t="str">
        <f t="shared" si="2"/>
        <v>1965</v>
      </c>
      <c r="H78" s="22">
        <f t="shared" si="3"/>
        <v>61</v>
      </c>
      <c r="I78" s="23"/>
      <c r="J78" s="20" t="s">
        <v>27</v>
      </c>
      <c r="K78" s="6"/>
      <c r="L78" s="25"/>
      <c r="M78" s="45" t="s">
        <v>1451</v>
      </c>
      <c r="N78" s="6"/>
      <c r="O78" s="6"/>
      <c r="P78" s="6"/>
      <c r="Q78" s="6"/>
      <c r="R78" s="26"/>
      <c r="S78" s="26"/>
      <c r="T78" s="26"/>
      <c r="U78" s="26"/>
      <c r="V78" s="26" t="s">
        <v>1452</v>
      </c>
    </row>
    <row r="79" spans="1:22" s="4" customFormat="1" hidden="1">
      <c r="A79" s="17">
        <v>470</v>
      </c>
      <c r="B79" s="6" t="s">
        <v>1254</v>
      </c>
      <c r="C79" s="6" t="s">
        <v>1453</v>
      </c>
      <c r="D79" s="6"/>
      <c r="E79" s="6" t="s">
        <v>40</v>
      </c>
      <c r="F79" s="21">
        <v>2021957</v>
      </c>
      <c r="G79" s="21" t="str">
        <f t="shared" si="2"/>
        <v>1957</v>
      </c>
      <c r="H79" s="22">
        <f t="shared" si="3"/>
        <v>69</v>
      </c>
      <c r="I79" s="23"/>
      <c r="J79" s="20" t="s">
        <v>27</v>
      </c>
      <c r="K79" s="6" t="s">
        <v>259</v>
      </c>
      <c r="L79" s="25"/>
      <c r="M79" s="45" t="s">
        <v>1454</v>
      </c>
      <c r="N79" s="6"/>
      <c r="O79" s="6"/>
      <c r="P79" s="6">
        <v>153</v>
      </c>
      <c r="Q79" s="6">
        <v>50</v>
      </c>
      <c r="R79" s="26">
        <v>78</v>
      </c>
      <c r="S79" s="26"/>
      <c r="T79" s="26"/>
      <c r="U79" s="26"/>
      <c r="V79" s="6"/>
    </row>
    <row r="80" spans="1:22" s="4" customFormat="1" hidden="1">
      <c r="A80" s="20">
        <v>471</v>
      </c>
      <c r="B80" s="6" t="s">
        <v>1254</v>
      </c>
      <c r="C80" s="6" t="s">
        <v>1455</v>
      </c>
      <c r="D80" s="6"/>
      <c r="E80" s="6" t="s">
        <v>40</v>
      </c>
      <c r="F80" s="21"/>
      <c r="G80" s="21" t="str">
        <f t="shared" si="2"/>
        <v/>
      </c>
      <c r="H80" s="22" t="e">
        <f t="shared" si="3"/>
        <v>#VALUE!</v>
      </c>
      <c r="I80" s="23"/>
      <c r="J80" s="20"/>
      <c r="K80" s="6" t="s">
        <v>259</v>
      </c>
      <c r="L80" s="25"/>
      <c r="M80" s="25"/>
      <c r="N80" s="6"/>
      <c r="O80" s="6" t="s">
        <v>570</v>
      </c>
      <c r="P80" s="6">
        <v>150</v>
      </c>
      <c r="Q80" s="6">
        <v>40</v>
      </c>
      <c r="R80" s="26">
        <v>76</v>
      </c>
      <c r="S80" s="26"/>
      <c r="T80" s="26"/>
      <c r="U80" s="26"/>
      <c r="V80" s="6" t="s">
        <v>252</v>
      </c>
    </row>
    <row r="81" spans="1:22" s="4" customFormat="1">
      <c r="A81" s="17">
        <v>472</v>
      </c>
      <c r="B81" s="6" t="s">
        <v>1254</v>
      </c>
      <c r="C81" s="6" t="s">
        <v>1456</v>
      </c>
      <c r="D81" s="6"/>
      <c r="E81" s="6" t="s">
        <v>2374</v>
      </c>
      <c r="F81" s="21">
        <v>10111971</v>
      </c>
      <c r="G81" s="21" t="str">
        <f t="shared" si="2"/>
        <v>1971</v>
      </c>
      <c r="H81" s="22">
        <f t="shared" si="3"/>
        <v>55</v>
      </c>
      <c r="I81" s="23"/>
      <c r="J81" s="20" t="s">
        <v>27</v>
      </c>
      <c r="K81" s="6" t="s">
        <v>259</v>
      </c>
      <c r="L81" s="25"/>
      <c r="M81" s="45" t="s">
        <v>1457</v>
      </c>
      <c r="N81" s="6"/>
      <c r="O81" s="6" t="s">
        <v>143</v>
      </c>
      <c r="P81" s="6">
        <v>165</v>
      </c>
      <c r="Q81" s="6">
        <v>52</v>
      </c>
      <c r="R81" s="26">
        <v>76</v>
      </c>
      <c r="S81" s="26"/>
      <c r="T81" s="26"/>
      <c r="U81" s="26"/>
      <c r="V81" s="6" t="s">
        <v>252</v>
      </c>
    </row>
    <row r="82" spans="1:22" s="4" customFormat="1" hidden="1">
      <c r="A82" s="20">
        <v>473</v>
      </c>
      <c r="B82" s="6" t="s">
        <v>1254</v>
      </c>
      <c r="C82" s="6" t="s">
        <v>1458</v>
      </c>
      <c r="D82" s="6"/>
      <c r="E82" s="6" t="s">
        <v>40</v>
      </c>
      <c r="F82" s="21">
        <v>10101952</v>
      </c>
      <c r="G82" s="21" t="str">
        <f t="shared" si="2"/>
        <v>1952</v>
      </c>
      <c r="H82" s="22">
        <f t="shared" si="3"/>
        <v>74</v>
      </c>
      <c r="I82" s="23"/>
      <c r="J82" s="20" t="s">
        <v>27</v>
      </c>
      <c r="K82" s="6" t="s">
        <v>259</v>
      </c>
      <c r="L82" s="25"/>
      <c r="M82" s="45" t="s">
        <v>1459</v>
      </c>
      <c r="N82" s="6"/>
      <c r="O82" s="6" t="s">
        <v>113</v>
      </c>
      <c r="P82" s="6">
        <v>150</v>
      </c>
      <c r="Q82" s="6">
        <v>50</v>
      </c>
      <c r="R82" s="26">
        <v>82</v>
      </c>
      <c r="S82" s="26"/>
      <c r="T82" s="26"/>
      <c r="U82" s="26"/>
      <c r="V82" s="6" t="s">
        <v>252</v>
      </c>
    </row>
    <row r="83" spans="1:22" s="4" customFormat="1" hidden="1">
      <c r="A83" s="17">
        <v>474</v>
      </c>
      <c r="B83" s="6" t="s">
        <v>1254</v>
      </c>
      <c r="C83" s="6" t="s">
        <v>201</v>
      </c>
      <c r="D83" s="6"/>
      <c r="E83" s="6" t="s">
        <v>40</v>
      </c>
      <c r="F83" s="21">
        <v>9111947</v>
      </c>
      <c r="G83" s="21" t="str">
        <f t="shared" si="2"/>
        <v>1947</v>
      </c>
      <c r="H83" s="22">
        <f t="shared" si="3"/>
        <v>79</v>
      </c>
      <c r="I83" s="23"/>
      <c r="J83" s="20" t="s">
        <v>27</v>
      </c>
      <c r="K83" s="6" t="s">
        <v>259</v>
      </c>
      <c r="L83" s="25"/>
      <c r="M83" s="45" t="s">
        <v>1460</v>
      </c>
      <c r="N83" s="6"/>
      <c r="O83" s="6" t="s">
        <v>146</v>
      </c>
      <c r="P83" s="6">
        <v>162</v>
      </c>
      <c r="Q83" s="6">
        <v>54</v>
      </c>
      <c r="R83" s="26">
        <v>80</v>
      </c>
      <c r="S83" s="26"/>
      <c r="T83" s="26"/>
      <c r="U83" s="6"/>
      <c r="V83" s="26"/>
    </row>
    <row r="84" spans="1:22" s="4" customFormat="1" hidden="1">
      <c r="A84" s="20">
        <v>475</v>
      </c>
      <c r="B84" s="6" t="s">
        <v>1254</v>
      </c>
      <c r="C84" s="6" t="s">
        <v>1461</v>
      </c>
      <c r="D84" s="6"/>
      <c r="E84" s="6" t="s">
        <v>40</v>
      </c>
      <c r="F84" s="21">
        <v>2011946</v>
      </c>
      <c r="G84" s="21" t="str">
        <f t="shared" si="2"/>
        <v>1946</v>
      </c>
      <c r="H84" s="22">
        <f t="shared" si="3"/>
        <v>80</v>
      </c>
      <c r="I84" s="23" t="s">
        <v>27</v>
      </c>
      <c r="J84" s="20"/>
      <c r="K84" s="6" t="s">
        <v>259</v>
      </c>
      <c r="L84" s="25"/>
      <c r="M84" s="45" t="s">
        <v>1462</v>
      </c>
      <c r="N84" s="6"/>
      <c r="O84" s="6" t="s">
        <v>1463</v>
      </c>
      <c r="P84" s="6">
        <v>164</v>
      </c>
      <c r="Q84" s="6">
        <v>45</v>
      </c>
      <c r="R84" s="26"/>
      <c r="S84" s="26"/>
      <c r="T84" s="26"/>
      <c r="U84" s="6"/>
      <c r="V84" s="26" t="s">
        <v>1464</v>
      </c>
    </row>
    <row r="85" spans="1:22" s="4" customFormat="1" hidden="1">
      <c r="A85" s="17">
        <v>476</v>
      </c>
      <c r="B85" s="6" t="s">
        <v>1254</v>
      </c>
      <c r="C85" s="6" t="s">
        <v>1465</v>
      </c>
      <c r="D85" s="6"/>
      <c r="E85" s="6" t="s">
        <v>40</v>
      </c>
      <c r="F85" s="21">
        <v>1011946</v>
      </c>
      <c r="G85" s="21" t="str">
        <f t="shared" si="2"/>
        <v>1946</v>
      </c>
      <c r="H85" s="22">
        <f t="shared" si="3"/>
        <v>80</v>
      </c>
      <c r="I85" s="23"/>
      <c r="J85" s="20" t="s">
        <v>27</v>
      </c>
      <c r="K85" s="6" t="s">
        <v>259</v>
      </c>
      <c r="L85" s="25"/>
      <c r="M85" s="45" t="s">
        <v>1466</v>
      </c>
      <c r="N85" s="6"/>
      <c r="O85" s="6" t="s">
        <v>1467</v>
      </c>
      <c r="P85" s="6">
        <v>157</v>
      </c>
      <c r="Q85" s="6">
        <v>46</v>
      </c>
      <c r="R85" s="26"/>
      <c r="S85" s="26"/>
      <c r="T85" s="26"/>
      <c r="U85" s="6"/>
      <c r="V85" s="26" t="s">
        <v>252</v>
      </c>
    </row>
    <row r="86" spans="1:22" s="4" customFormat="1" hidden="1">
      <c r="A86" s="20">
        <v>477</v>
      </c>
      <c r="B86" s="6" t="s">
        <v>1254</v>
      </c>
      <c r="C86" s="6" t="s">
        <v>1468</v>
      </c>
      <c r="D86" s="6"/>
      <c r="E86" s="6" t="s">
        <v>40</v>
      </c>
      <c r="F86" s="21">
        <v>18091942</v>
      </c>
      <c r="G86" s="21" t="str">
        <f t="shared" si="2"/>
        <v>1942</v>
      </c>
      <c r="H86" s="22">
        <f t="shared" si="3"/>
        <v>84</v>
      </c>
      <c r="I86" s="23"/>
      <c r="J86" s="20" t="s">
        <v>27</v>
      </c>
      <c r="K86" s="6" t="s">
        <v>259</v>
      </c>
      <c r="L86" s="25"/>
      <c r="M86" s="45" t="s">
        <v>1469</v>
      </c>
      <c r="N86" s="6"/>
      <c r="O86" s="6" t="s">
        <v>143</v>
      </c>
      <c r="P86" s="6">
        <v>158</v>
      </c>
      <c r="Q86" s="6">
        <v>70</v>
      </c>
      <c r="R86" s="26"/>
      <c r="S86" s="26"/>
      <c r="T86" s="26"/>
      <c r="U86" s="6"/>
      <c r="V86" s="26" t="s">
        <v>252</v>
      </c>
    </row>
    <row r="87" spans="1:22" s="4" customFormat="1">
      <c r="A87" s="17">
        <v>478</v>
      </c>
      <c r="B87" s="6" t="s">
        <v>1254</v>
      </c>
      <c r="C87" s="6" t="s">
        <v>1470</v>
      </c>
      <c r="D87" s="6"/>
      <c r="E87" s="6" t="s">
        <v>2374</v>
      </c>
      <c r="F87" s="21">
        <v>16051995</v>
      </c>
      <c r="G87" s="21" t="str">
        <f t="shared" si="2"/>
        <v>1995</v>
      </c>
      <c r="H87" s="22">
        <f t="shared" si="3"/>
        <v>31</v>
      </c>
      <c r="I87" s="23" t="s">
        <v>27</v>
      </c>
      <c r="J87" s="20"/>
      <c r="K87" s="6" t="s">
        <v>259</v>
      </c>
      <c r="L87" s="25"/>
      <c r="M87" s="45" t="s">
        <v>1471</v>
      </c>
      <c r="N87" s="6"/>
      <c r="O87" s="6" t="s">
        <v>570</v>
      </c>
      <c r="P87" s="6">
        <v>165</v>
      </c>
      <c r="Q87" s="6">
        <v>52</v>
      </c>
      <c r="R87" s="26">
        <v>78</v>
      </c>
      <c r="S87" s="26"/>
      <c r="T87" s="26"/>
      <c r="U87" s="6"/>
      <c r="V87" s="26" t="s">
        <v>252</v>
      </c>
    </row>
    <row r="88" spans="1:22" s="4" customFormat="1" hidden="1">
      <c r="A88" s="20">
        <v>479</v>
      </c>
      <c r="B88" s="6" t="s">
        <v>1254</v>
      </c>
      <c r="C88" s="6" t="s">
        <v>1472</v>
      </c>
      <c r="D88" s="6"/>
      <c r="E88" s="6" t="s">
        <v>40</v>
      </c>
      <c r="F88" s="21">
        <v>1011936</v>
      </c>
      <c r="G88" s="21" t="str">
        <f t="shared" si="2"/>
        <v>1936</v>
      </c>
      <c r="H88" s="22">
        <f t="shared" si="3"/>
        <v>90</v>
      </c>
      <c r="I88" s="23"/>
      <c r="J88" s="20" t="s">
        <v>27</v>
      </c>
      <c r="K88" s="6" t="s">
        <v>259</v>
      </c>
      <c r="L88" s="25"/>
      <c r="M88" s="45" t="s">
        <v>1473</v>
      </c>
      <c r="N88" s="6"/>
      <c r="O88" s="6" t="s">
        <v>1474</v>
      </c>
      <c r="P88" s="6"/>
      <c r="Q88" s="6"/>
      <c r="R88" s="26"/>
      <c r="S88" s="26"/>
      <c r="T88" s="26"/>
      <c r="U88" s="6"/>
      <c r="V88" s="26" t="s">
        <v>252</v>
      </c>
    </row>
    <row r="89" spans="1:22" s="4" customFormat="1" hidden="1">
      <c r="A89" s="17">
        <v>480</v>
      </c>
      <c r="B89" s="6" t="s">
        <v>1254</v>
      </c>
      <c r="C89" s="6" t="s">
        <v>1475</v>
      </c>
      <c r="D89" s="6"/>
      <c r="E89" s="6" t="s">
        <v>40</v>
      </c>
      <c r="F89" s="21">
        <v>10091935</v>
      </c>
      <c r="G89" s="21" t="str">
        <f t="shared" si="2"/>
        <v>1935</v>
      </c>
      <c r="H89" s="22">
        <f t="shared" si="3"/>
        <v>91</v>
      </c>
      <c r="I89" s="23"/>
      <c r="J89" s="20" t="s">
        <v>27</v>
      </c>
      <c r="K89" s="6" t="s">
        <v>259</v>
      </c>
      <c r="L89" s="25"/>
      <c r="M89" s="45" t="s">
        <v>1476</v>
      </c>
      <c r="N89" s="6"/>
      <c r="O89" s="6" t="s">
        <v>570</v>
      </c>
      <c r="P89" s="6">
        <v>139</v>
      </c>
      <c r="Q89" s="6">
        <v>36</v>
      </c>
      <c r="R89" s="26"/>
      <c r="S89" s="26"/>
      <c r="T89" s="26"/>
      <c r="U89" s="6"/>
      <c r="V89" s="26" t="s">
        <v>252</v>
      </c>
    </row>
    <row r="90" spans="1:22" s="4" customFormat="1">
      <c r="A90" s="20">
        <v>481</v>
      </c>
      <c r="B90" s="6" t="s">
        <v>1254</v>
      </c>
      <c r="C90" s="6" t="s">
        <v>1477</v>
      </c>
      <c r="D90" s="6"/>
      <c r="E90" s="6" t="s">
        <v>2374</v>
      </c>
      <c r="F90" s="21">
        <v>1011975</v>
      </c>
      <c r="G90" s="21" t="str">
        <f t="shared" si="2"/>
        <v>1975</v>
      </c>
      <c r="H90" s="22">
        <f t="shared" si="3"/>
        <v>51</v>
      </c>
      <c r="I90" s="23" t="s">
        <v>27</v>
      </c>
      <c r="J90" s="20"/>
      <c r="K90" s="6" t="s">
        <v>259</v>
      </c>
      <c r="L90" s="25"/>
      <c r="M90" s="45" t="s">
        <v>1478</v>
      </c>
      <c r="N90" s="6"/>
      <c r="O90" s="6" t="s">
        <v>284</v>
      </c>
      <c r="P90" s="6">
        <v>162</v>
      </c>
      <c r="Q90" s="6">
        <v>52</v>
      </c>
      <c r="R90" s="26"/>
      <c r="S90" s="26"/>
      <c r="T90" s="26"/>
      <c r="U90" s="6"/>
      <c r="V90" s="26" t="s">
        <v>252</v>
      </c>
    </row>
    <row r="91" spans="1:22" s="4" customFormat="1" hidden="1">
      <c r="A91" s="17">
        <v>482</v>
      </c>
      <c r="B91" s="6" t="s">
        <v>1254</v>
      </c>
      <c r="C91" s="6" t="s">
        <v>1479</v>
      </c>
      <c r="D91" s="6"/>
      <c r="E91" s="6" t="s">
        <v>40</v>
      </c>
      <c r="F91" s="21">
        <v>1111965</v>
      </c>
      <c r="G91" s="21" t="str">
        <f t="shared" si="2"/>
        <v>1965</v>
      </c>
      <c r="H91" s="22">
        <f t="shared" si="3"/>
        <v>61</v>
      </c>
      <c r="I91" s="23" t="s">
        <v>27</v>
      </c>
      <c r="J91" s="20"/>
      <c r="K91" s="6" t="s">
        <v>259</v>
      </c>
      <c r="L91" s="25"/>
      <c r="M91" s="45" t="s">
        <v>1480</v>
      </c>
      <c r="N91" s="6"/>
      <c r="O91" s="6" t="s">
        <v>333</v>
      </c>
      <c r="P91" s="6">
        <v>165</v>
      </c>
      <c r="Q91" s="6">
        <v>57</v>
      </c>
      <c r="R91" s="26">
        <v>79</v>
      </c>
      <c r="S91" s="26"/>
      <c r="T91" s="26"/>
      <c r="U91" s="6"/>
      <c r="V91" s="26" t="s">
        <v>252</v>
      </c>
    </row>
    <row r="92" spans="1:22" s="4" customFormat="1" hidden="1">
      <c r="A92" s="20">
        <v>483</v>
      </c>
      <c r="B92" s="6" t="s">
        <v>1254</v>
      </c>
      <c r="C92" s="6" t="s">
        <v>1481</v>
      </c>
      <c r="D92" s="6"/>
      <c r="E92" s="6" t="s">
        <v>40</v>
      </c>
      <c r="F92" s="21">
        <v>3091952</v>
      </c>
      <c r="G92" s="21" t="str">
        <f t="shared" si="2"/>
        <v>1952</v>
      </c>
      <c r="H92" s="22">
        <f t="shared" si="3"/>
        <v>74</v>
      </c>
      <c r="I92" s="23"/>
      <c r="J92" s="20" t="s">
        <v>27</v>
      </c>
      <c r="K92" s="6" t="s">
        <v>259</v>
      </c>
      <c r="L92" s="25"/>
      <c r="M92" s="45" t="s">
        <v>1482</v>
      </c>
      <c r="N92" s="6"/>
      <c r="O92" s="6" t="s">
        <v>1463</v>
      </c>
      <c r="P92" s="6">
        <v>150</v>
      </c>
      <c r="Q92" s="6">
        <v>43</v>
      </c>
      <c r="R92" s="26"/>
      <c r="S92" s="26"/>
      <c r="T92" s="26"/>
      <c r="U92" s="6"/>
      <c r="V92" s="26" t="s">
        <v>1483</v>
      </c>
    </row>
    <row r="93" spans="1:22" s="4" customFormat="1" hidden="1">
      <c r="A93" s="17">
        <v>484</v>
      </c>
      <c r="B93" s="6" t="s">
        <v>1254</v>
      </c>
      <c r="C93" s="6" t="s">
        <v>1484</v>
      </c>
      <c r="D93" s="6"/>
      <c r="E93" s="6" t="s">
        <v>40</v>
      </c>
      <c r="F93" s="21">
        <v>10031945</v>
      </c>
      <c r="G93" s="21" t="str">
        <f t="shared" si="2"/>
        <v>1945</v>
      </c>
      <c r="H93" s="22">
        <f t="shared" si="3"/>
        <v>81</v>
      </c>
      <c r="I93" s="23" t="s">
        <v>27</v>
      </c>
      <c r="J93" s="20"/>
      <c r="K93" s="6" t="s">
        <v>259</v>
      </c>
      <c r="L93" s="25"/>
      <c r="M93" s="45" t="s">
        <v>1485</v>
      </c>
      <c r="N93" s="6"/>
      <c r="O93" s="6" t="s">
        <v>143</v>
      </c>
      <c r="P93" s="6">
        <v>167</v>
      </c>
      <c r="Q93" s="6">
        <v>53</v>
      </c>
      <c r="R93" s="26">
        <v>78</v>
      </c>
      <c r="S93" s="26"/>
      <c r="T93" s="26"/>
      <c r="U93" s="6"/>
      <c r="V93" s="26" t="s">
        <v>1486</v>
      </c>
    </row>
    <row r="94" spans="1:22" s="4" customFormat="1">
      <c r="A94" s="20">
        <v>485</v>
      </c>
      <c r="B94" s="6" t="s">
        <v>1254</v>
      </c>
      <c r="C94" s="6" t="s">
        <v>1487</v>
      </c>
      <c r="D94" s="6"/>
      <c r="E94" s="6" t="s">
        <v>2374</v>
      </c>
      <c r="F94" s="21">
        <v>27081969</v>
      </c>
      <c r="G94" s="21" t="str">
        <f t="shared" si="2"/>
        <v>1969</v>
      </c>
      <c r="H94" s="22">
        <f t="shared" si="3"/>
        <v>57</v>
      </c>
      <c r="I94" s="23"/>
      <c r="J94" s="20" t="s">
        <v>27</v>
      </c>
      <c r="K94" s="6" t="s">
        <v>259</v>
      </c>
      <c r="L94" s="25"/>
      <c r="M94" s="45" t="s">
        <v>1488</v>
      </c>
      <c r="N94" s="6"/>
      <c r="O94" s="6" t="s">
        <v>113</v>
      </c>
      <c r="P94" s="6">
        <v>160</v>
      </c>
      <c r="Q94" s="6">
        <v>38</v>
      </c>
      <c r="R94" s="26">
        <v>80</v>
      </c>
      <c r="S94" s="26"/>
      <c r="T94" s="26"/>
      <c r="U94" s="6"/>
      <c r="V94" s="26" t="s">
        <v>1489</v>
      </c>
    </row>
    <row r="95" spans="1:22" s="4" customFormat="1" hidden="1">
      <c r="A95" s="17">
        <v>486</v>
      </c>
      <c r="B95" s="6" t="s">
        <v>1254</v>
      </c>
      <c r="C95" s="6" t="s">
        <v>1490</v>
      </c>
      <c r="D95" s="6"/>
      <c r="E95" s="6" t="s">
        <v>40</v>
      </c>
      <c r="F95" s="21">
        <v>1011954</v>
      </c>
      <c r="G95" s="21" t="str">
        <f t="shared" si="2"/>
        <v>1954</v>
      </c>
      <c r="H95" s="22">
        <f t="shared" si="3"/>
        <v>72</v>
      </c>
      <c r="I95" s="23" t="s">
        <v>27</v>
      </c>
      <c r="J95" s="20"/>
      <c r="K95" s="6" t="s">
        <v>259</v>
      </c>
      <c r="L95" s="25"/>
      <c r="M95" s="25"/>
      <c r="N95" s="6"/>
      <c r="O95" s="6" t="s">
        <v>570</v>
      </c>
      <c r="P95" s="6">
        <v>165</v>
      </c>
      <c r="Q95" s="6">
        <v>58</v>
      </c>
      <c r="R95" s="26">
        <v>78</v>
      </c>
      <c r="S95" s="26"/>
      <c r="T95" s="26"/>
      <c r="U95" s="6"/>
      <c r="V95" s="26" t="s">
        <v>252</v>
      </c>
    </row>
    <row r="96" spans="1:22" s="4" customFormat="1" hidden="1">
      <c r="A96" s="20">
        <v>487</v>
      </c>
      <c r="B96" s="6" t="s">
        <v>1254</v>
      </c>
      <c r="C96" s="6" t="s">
        <v>1491</v>
      </c>
      <c r="D96" s="6"/>
      <c r="E96" s="6" t="s">
        <v>40</v>
      </c>
      <c r="F96" s="21">
        <v>1011960</v>
      </c>
      <c r="G96" s="21" t="str">
        <f t="shared" si="2"/>
        <v>1960</v>
      </c>
      <c r="H96" s="22">
        <f t="shared" si="3"/>
        <v>66</v>
      </c>
      <c r="I96" s="23"/>
      <c r="J96" s="20" t="s">
        <v>27</v>
      </c>
      <c r="K96" s="6" t="s">
        <v>259</v>
      </c>
      <c r="L96" s="25"/>
      <c r="M96" s="45" t="s">
        <v>1492</v>
      </c>
      <c r="N96" s="6"/>
      <c r="O96" s="6" t="s">
        <v>42</v>
      </c>
      <c r="P96" s="6">
        <v>150</v>
      </c>
      <c r="Q96" s="6">
        <v>50</v>
      </c>
      <c r="R96" s="26">
        <v>80</v>
      </c>
      <c r="S96" s="26"/>
      <c r="T96" s="26"/>
      <c r="U96" s="6"/>
      <c r="V96" s="26" t="s">
        <v>252</v>
      </c>
    </row>
    <row r="97" spans="1:22" s="4" customFormat="1">
      <c r="A97" s="17">
        <v>488</v>
      </c>
      <c r="B97" s="6" t="s">
        <v>1254</v>
      </c>
      <c r="C97" s="6" t="s">
        <v>638</v>
      </c>
      <c r="D97" s="6"/>
      <c r="E97" s="6" t="s">
        <v>2374</v>
      </c>
      <c r="F97" s="21">
        <v>5101967</v>
      </c>
      <c r="G97" s="21" t="str">
        <f t="shared" si="2"/>
        <v>1967</v>
      </c>
      <c r="H97" s="22">
        <f t="shared" si="3"/>
        <v>59</v>
      </c>
      <c r="I97" s="23"/>
      <c r="J97" s="20" t="s">
        <v>27</v>
      </c>
      <c r="K97" s="6" t="s">
        <v>259</v>
      </c>
      <c r="L97" s="25"/>
      <c r="M97" s="45" t="s">
        <v>1493</v>
      </c>
      <c r="N97" s="6"/>
      <c r="O97" s="6" t="s">
        <v>60</v>
      </c>
      <c r="P97" s="6">
        <v>152</v>
      </c>
      <c r="Q97" s="6">
        <v>53</v>
      </c>
      <c r="R97" s="26">
        <v>80</v>
      </c>
      <c r="S97" s="26"/>
      <c r="T97" s="26"/>
      <c r="U97" s="6"/>
      <c r="V97" s="26"/>
    </row>
    <row r="98" spans="1:22" s="4" customFormat="1" hidden="1">
      <c r="A98" s="20">
        <v>489</v>
      </c>
      <c r="B98" s="6" t="s">
        <v>1254</v>
      </c>
      <c r="C98" s="6" t="s">
        <v>1494</v>
      </c>
      <c r="D98" s="6"/>
      <c r="E98" s="6" t="s">
        <v>40</v>
      </c>
      <c r="F98" s="21">
        <v>2071952</v>
      </c>
      <c r="G98" s="21" t="str">
        <f t="shared" si="2"/>
        <v>1952</v>
      </c>
      <c r="H98" s="22">
        <f t="shared" si="3"/>
        <v>74</v>
      </c>
      <c r="I98" s="23"/>
      <c r="J98" s="20" t="s">
        <v>27</v>
      </c>
      <c r="K98" s="6" t="s">
        <v>259</v>
      </c>
      <c r="L98" s="25"/>
      <c r="M98" s="45" t="s">
        <v>1495</v>
      </c>
      <c r="N98" s="6"/>
      <c r="O98" s="6" t="s">
        <v>143</v>
      </c>
      <c r="P98" s="6">
        <v>156</v>
      </c>
      <c r="Q98" s="6">
        <v>55</v>
      </c>
      <c r="R98" s="26">
        <v>82</v>
      </c>
      <c r="S98" s="26"/>
      <c r="T98" s="26"/>
      <c r="U98" s="6"/>
      <c r="V98" s="26" t="s">
        <v>252</v>
      </c>
    </row>
    <row r="99" spans="1:22" s="4" customFormat="1" hidden="1">
      <c r="A99" s="17">
        <v>490</v>
      </c>
      <c r="B99" s="6" t="s">
        <v>1254</v>
      </c>
      <c r="C99" s="6" t="s">
        <v>1496</v>
      </c>
      <c r="D99" s="6"/>
      <c r="E99" s="6" t="s">
        <v>40</v>
      </c>
      <c r="F99" s="21">
        <v>20051942</v>
      </c>
      <c r="G99" s="21" t="str">
        <f t="shared" si="2"/>
        <v>1942</v>
      </c>
      <c r="H99" s="22">
        <f t="shared" si="3"/>
        <v>84</v>
      </c>
      <c r="I99" s="23"/>
      <c r="J99" s="20" t="s">
        <v>27</v>
      </c>
      <c r="K99" s="6" t="s">
        <v>259</v>
      </c>
      <c r="L99" s="25"/>
      <c r="M99" s="45" t="s">
        <v>1497</v>
      </c>
      <c r="N99" s="6"/>
      <c r="O99" s="6" t="s">
        <v>1463</v>
      </c>
      <c r="P99" s="6">
        <v>150</v>
      </c>
      <c r="Q99" s="6">
        <v>42</v>
      </c>
      <c r="R99" s="26">
        <v>120</v>
      </c>
      <c r="S99" s="26"/>
      <c r="T99" s="26"/>
      <c r="U99" s="6"/>
      <c r="V99" s="26" t="s">
        <v>252</v>
      </c>
    </row>
    <row r="100" spans="1:22" s="4" customFormat="1" hidden="1">
      <c r="A100" s="20">
        <v>491</v>
      </c>
      <c r="B100" s="6" t="s">
        <v>1254</v>
      </c>
      <c r="C100" s="6" t="s">
        <v>1353</v>
      </c>
      <c r="D100" s="6"/>
      <c r="E100" s="6" t="s">
        <v>40</v>
      </c>
      <c r="F100" s="21">
        <v>27081951</v>
      </c>
      <c r="G100" s="21" t="str">
        <f t="shared" si="2"/>
        <v>1951</v>
      </c>
      <c r="H100" s="22">
        <f t="shared" si="3"/>
        <v>75</v>
      </c>
      <c r="I100" s="23" t="s">
        <v>27</v>
      </c>
      <c r="J100" s="20"/>
      <c r="K100" s="6" t="s">
        <v>259</v>
      </c>
      <c r="L100" s="25"/>
      <c r="M100" s="45" t="s">
        <v>1498</v>
      </c>
      <c r="N100" s="6"/>
      <c r="O100" s="6" t="s">
        <v>284</v>
      </c>
      <c r="P100" s="6">
        <v>150</v>
      </c>
      <c r="Q100" s="6">
        <v>50</v>
      </c>
      <c r="R100" s="26">
        <v>78</v>
      </c>
      <c r="S100" s="26"/>
      <c r="T100" s="26"/>
      <c r="U100" s="6"/>
      <c r="V100" s="26" t="s">
        <v>252</v>
      </c>
    </row>
    <row r="101" spans="1:22" s="4" customFormat="1" hidden="1">
      <c r="A101" s="17">
        <v>492</v>
      </c>
      <c r="B101" s="6" t="s">
        <v>1254</v>
      </c>
      <c r="C101" s="6" t="s">
        <v>1499</v>
      </c>
      <c r="D101" s="6"/>
      <c r="E101" s="6" t="s">
        <v>40</v>
      </c>
      <c r="F101" s="21">
        <v>10101954</v>
      </c>
      <c r="G101" s="21" t="str">
        <f t="shared" si="2"/>
        <v>1954</v>
      </c>
      <c r="H101" s="22">
        <f t="shared" si="3"/>
        <v>72</v>
      </c>
      <c r="I101" s="23" t="s">
        <v>27</v>
      </c>
      <c r="J101" s="20"/>
      <c r="K101" s="6" t="s">
        <v>259</v>
      </c>
      <c r="L101" s="25"/>
      <c r="M101" s="45" t="s">
        <v>1500</v>
      </c>
      <c r="N101" s="6"/>
      <c r="O101" s="6" t="s">
        <v>34</v>
      </c>
      <c r="P101" s="6">
        <v>165</v>
      </c>
      <c r="Q101" s="6">
        <v>52</v>
      </c>
      <c r="R101" s="26">
        <v>75</v>
      </c>
      <c r="S101" s="26"/>
      <c r="T101" s="26"/>
      <c r="U101" s="6"/>
      <c r="V101" s="26" t="s">
        <v>1464</v>
      </c>
    </row>
    <row r="102" spans="1:22" s="4" customFormat="1" hidden="1">
      <c r="A102" s="20">
        <v>493</v>
      </c>
      <c r="B102" s="6" t="s">
        <v>1254</v>
      </c>
      <c r="C102" s="6" t="s">
        <v>1501</v>
      </c>
      <c r="D102" s="6"/>
      <c r="E102" s="6" t="s">
        <v>40</v>
      </c>
      <c r="F102" s="21">
        <v>10081950</v>
      </c>
      <c r="G102" s="21" t="str">
        <f t="shared" si="2"/>
        <v>1950</v>
      </c>
      <c r="H102" s="22">
        <f t="shared" si="3"/>
        <v>76</v>
      </c>
      <c r="I102" s="23"/>
      <c r="J102" s="20" t="s">
        <v>27</v>
      </c>
      <c r="K102" s="6" t="s">
        <v>259</v>
      </c>
      <c r="L102" s="25"/>
      <c r="M102" s="45" t="s">
        <v>1502</v>
      </c>
      <c r="N102" s="6"/>
      <c r="O102" s="6" t="s">
        <v>143</v>
      </c>
      <c r="P102" s="6">
        <v>156</v>
      </c>
      <c r="Q102" s="6">
        <v>42</v>
      </c>
      <c r="R102" s="26">
        <v>76</v>
      </c>
      <c r="S102" s="26"/>
      <c r="T102" s="26"/>
      <c r="U102" s="6"/>
      <c r="V102" s="26" t="s">
        <v>1503</v>
      </c>
    </row>
    <row r="103" spans="1:22" s="4" customFormat="1" hidden="1">
      <c r="A103" s="17">
        <v>494</v>
      </c>
      <c r="B103" s="6" t="s">
        <v>1254</v>
      </c>
      <c r="C103" s="6" t="s">
        <v>1504</v>
      </c>
      <c r="D103" s="6"/>
      <c r="E103" s="6" t="s">
        <v>40</v>
      </c>
      <c r="F103" s="21">
        <v>5121944</v>
      </c>
      <c r="G103" s="21" t="str">
        <f t="shared" si="2"/>
        <v>1944</v>
      </c>
      <c r="H103" s="22">
        <f t="shared" si="3"/>
        <v>82</v>
      </c>
      <c r="I103" s="23" t="s">
        <v>27</v>
      </c>
      <c r="J103" s="20"/>
      <c r="K103" s="6" t="s">
        <v>259</v>
      </c>
      <c r="L103" s="25"/>
      <c r="M103" s="45" t="s">
        <v>1505</v>
      </c>
      <c r="N103" s="6"/>
      <c r="O103" s="6" t="s">
        <v>143</v>
      </c>
      <c r="P103" s="6">
        <v>165</v>
      </c>
      <c r="Q103" s="6">
        <v>60</v>
      </c>
      <c r="R103" s="26">
        <v>80</v>
      </c>
      <c r="S103" s="26"/>
      <c r="T103" s="26"/>
      <c r="U103" s="6"/>
      <c r="V103" s="26" t="s">
        <v>252</v>
      </c>
    </row>
    <row r="104" spans="1:22" s="4" customFormat="1" hidden="1">
      <c r="A104" s="20">
        <v>495</v>
      </c>
      <c r="B104" s="6" t="s">
        <v>1254</v>
      </c>
      <c r="C104" s="4" t="s">
        <v>1506</v>
      </c>
      <c r="E104" s="6" t="s">
        <v>40</v>
      </c>
      <c r="F104" s="21">
        <v>20061963</v>
      </c>
      <c r="G104" s="21" t="str">
        <f t="shared" si="2"/>
        <v>1963</v>
      </c>
      <c r="H104" s="22">
        <f t="shared" si="3"/>
        <v>63</v>
      </c>
      <c r="I104" s="23"/>
      <c r="J104" s="20" t="s">
        <v>27</v>
      </c>
      <c r="K104" s="6" t="s">
        <v>259</v>
      </c>
      <c r="L104" s="25"/>
      <c r="M104" s="25"/>
      <c r="N104" s="6"/>
      <c r="O104" s="6" t="s">
        <v>1463</v>
      </c>
      <c r="P104" s="6">
        <v>145</v>
      </c>
      <c r="Q104" s="6">
        <v>57</v>
      </c>
      <c r="R104" s="26">
        <v>76</v>
      </c>
      <c r="S104" s="26"/>
      <c r="T104" s="26"/>
      <c r="U104" s="6"/>
      <c r="V104" s="26" t="s">
        <v>252</v>
      </c>
    </row>
    <row r="105" spans="1:22" s="4" customFormat="1" hidden="1">
      <c r="A105" s="17">
        <v>496</v>
      </c>
      <c r="B105" s="6" t="s">
        <v>1254</v>
      </c>
      <c r="C105" s="6" t="s">
        <v>1507</v>
      </c>
      <c r="D105" s="6"/>
      <c r="E105" s="6" t="s">
        <v>40</v>
      </c>
      <c r="F105" s="21">
        <v>15121963</v>
      </c>
      <c r="G105" s="21" t="str">
        <f t="shared" si="2"/>
        <v>1963</v>
      </c>
      <c r="H105" s="22">
        <f t="shared" si="3"/>
        <v>63</v>
      </c>
      <c r="I105" s="23"/>
      <c r="J105" s="20" t="s">
        <v>27</v>
      </c>
      <c r="K105" s="6" t="s">
        <v>259</v>
      </c>
      <c r="L105" s="25"/>
      <c r="M105" s="45" t="s">
        <v>1508</v>
      </c>
      <c r="N105" s="6"/>
      <c r="O105" s="6" t="s">
        <v>143</v>
      </c>
      <c r="P105" s="6">
        <v>155</v>
      </c>
      <c r="Q105" s="6">
        <v>44</v>
      </c>
      <c r="R105" s="26">
        <v>70</v>
      </c>
      <c r="S105" s="26"/>
      <c r="T105" s="26"/>
      <c r="U105" s="6"/>
      <c r="V105" s="26" t="s">
        <v>252</v>
      </c>
    </row>
    <row r="106" spans="1:22" s="4" customFormat="1" hidden="1">
      <c r="A106" s="20">
        <v>497</v>
      </c>
      <c r="B106" s="6" t="s">
        <v>1254</v>
      </c>
      <c r="C106" s="6" t="s">
        <v>1509</v>
      </c>
      <c r="D106" s="6"/>
      <c r="E106" s="6" t="s">
        <v>40</v>
      </c>
      <c r="F106" s="21">
        <v>27051964</v>
      </c>
      <c r="G106" s="21" t="str">
        <f t="shared" si="2"/>
        <v>1964</v>
      </c>
      <c r="H106" s="22">
        <f t="shared" si="3"/>
        <v>62</v>
      </c>
      <c r="I106" s="23"/>
      <c r="J106" s="20" t="s">
        <v>27</v>
      </c>
      <c r="K106" s="6" t="s">
        <v>259</v>
      </c>
      <c r="L106" s="25"/>
      <c r="M106" s="45" t="s">
        <v>1510</v>
      </c>
      <c r="N106" s="6"/>
      <c r="O106" s="6" t="s">
        <v>87</v>
      </c>
      <c r="P106" s="6">
        <v>155</v>
      </c>
      <c r="Q106" s="6">
        <v>54</v>
      </c>
      <c r="R106" s="26">
        <v>78</v>
      </c>
      <c r="S106" s="26"/>
      <c r="T106" s="26"/>
      <c r="U106" s="6"/>
      <c r="V106" s="26"/>
    </row>
    <row r="107" spans="1:22" s="4" customFormat="1" hidden="1">
      <c r="A107" s="17">
        <v>498</v>
      </c>
      <c r="B107" s="6" t="s">
        <v>1254</v>
      </c>
      <c r="C107" s="6" t="s">
        <v>1511</v>
      </c>
      <c r="D107" s="6"/>
      <c r="E107" s="6" t="s">
        <v>40</v>
      </c>
      <c r="F107" s="21">
        <v>1011955</v>
      </c>
      <c r="G107" s="21" t="str">
        <f t="shared" si="2"/>
        <v>1955</v>
      </c>
      <c r="H107" s="22">
        <f t="shared" si="3"/>
        <v>71</v>
      </c>
      <c r="I107" s="23"/>
      <c r="J107" s="20" t="s">
        <v>27</v>
      </c>
      <c r="K107" s="6" t="s">
        <v>259</v>
      </c>
      <c r="L107" s="25"/>
      <c r="M107" s="45" t="s">
        <v>1512</v>
      </c>
      <c r="N107" s="6"/>
      <c r="O107" s="6" t="s">
        <v>570</v>
      </c>
      <c r="P107" s="6">
        <v>162</v>
      </c>
      <c r="Q107" s="6">
        <v>48</v>
      </c>
      <c r="R107" s="26">
        <v>78</v>
      </c>
      <c r="S107" s="26"/>
      <c r="T107" s="26"/>
      <c r="U107" s="6"/>
      <c r="V107" s="26" t="s">
        <v>252</v>
      </c>
    </row>
    <row r="108" spans="1:22" s="4" customFormat="1" hidden="1">
      <c r="A108" s="20">
        <v>499</v>
      </c>
      <c r="B108" s="6" t="s">
        <v>1254</v>
      </c>
      <c r="C108" s="6" t="s">
        <v>1513</v>
      </c>
      <c r="D108" s="6"/>
      <c r="E108" s="6" t="s">
        <v>40</v>
      </c>
      <c r="F108" s="21">
        <v>1011964</v>
      </c>
      <c r="G108" s="21" t="str">
        <f t="shared" si="2"/>
        <v>1964</v>
      </c>
      <c r="H108" s="22">
        <f t="shared" si="3"/>
        <v>62</v>
      </c>
      <c r="I108" s="23"/>
      <c r="J108" s="20" t="s">
        <v>27</v>
      </c>
      <c r="K108" s="6" t="s">
        <v>259</v>
      </c>
      <c r="L108" s="25"/>
      <c r="M108" s="45" t="s">
        <v>1514</v>
      </c>
      <c r="N108" s="6"/>
      <c r="O108" s="6" t="s">
        <v>87</v>
      </c>
      <c r="P108" s="6">
        <v>155</v>
      </c>
      <c r="Q108" s="6">
        <v>47</v>
      </c>
      <c r="R108" s="26"/>
      <c r="S108" s="26"/>
      <c r="T108" s="26"/>
      <c r="U108" s="6"/>
      <c r="V108" s="26" t="s">
        <v>1515</v>
      </c>
    </row>
    <row r="109" spans="1:22" s="4" customFormat="1" hidden="1">
      <c r="A109" s="17">
        <v>500</v>
      </c>
      <c r="B109" s="6" t="s">
        <v>1254</v>
      </c>
      <c r="C109" s="6" t="s">
        <v>1516</v>
      </c>
      <c r="D109" s="6"/>
      <c r="E109" s="6" t="s">
        <v>40</v>
      </c>
      <c r="F109" s="21">
        <v>1051957</v>
      </c>
      <c r="G109" s="21" t="str">
        <f t="shared" si="2"/>
        <v>1957</v>
      </c>
      <c r="H109" s="22">
        <f t="shared" si="3"/>
        <v>69</v>
      </c>
      <c r="I109" s="23"/>
      <c r="J109" s="20" t="s">
        <v>27</v>
      </c>
      <c r="K109" s="6" t="s">
        <v>259</v>
      </c>
      <c r="L109" s="25"/>
      <c r="M109" s="45" t="s">
        <v>1517</v>
      </c>
      <c r="N109" s="6"/>
      <c r="O109" s="6" t="s">
        <v>34</v>
      </c>
      <c r="P109" s="6">
        <v>155</v>
      </c>
      <c r="Q109" s="6">
        <v>47</v>
      </c>
      <c r="R109" s="26">
        <v>78</v>
      </c>
      <c r="S109" s="26"/>
      <c r="T109" s="26"/>
      <c r="U109" s="6"/>
      <c r="V109" s="26" t="s">
        <v>252</v>
      </c>
    </row>
    <row r="110" spans="1:22" s="4" customFormat="1" hidden="1">
      <c r="A110" s="20">
        <v>501</v>
      </c>
      <c r="B110" s="6" t="s">
        <v>1254</v>
      </c>
      <c r="C110" s="6" t="s">
        <v>1518</v>
      </c>
      <c r="D110" s="6"/>
      <c r="E110" s="6" t="s">
        <v>40</v>
      </c>
      <c r="F110" s="21">
        <v>1011956</v>
      </c>
      <c r="G110" s="21" t="str">
        <f t="shared" si="2"/>
        <v>1956</v>
      </c>
      <c r="H110" s="22">
        <f t="shared" si="3"/>
        <v>70</v>
      </c>
      <c r="I110" s="23" t="s">
        <v>27</v>
      </c>
      <c r="J110" s="20"/>
      <c r="K110" s="6" t="s">
        <v>259</v>
      </c>
      <c r="L110" s="25"/>
      <c r="M110" s="45" t="s">
        <v>1519</v>
      </c>
      <c r="N110" s="6"/>
      <c r="O110" s="6" t="s">
        <v>113</v>
      </c>
      <c r="P110" s="6">
        <v>165</v>
      </c>
      <c r="Q110" s="6">
        <v>57</v>
      </c>
      <c r="R110" s="26">
        <v>78</v>
      </c>
      <c r="S110" s="26"/>
      <c r="T110" s="26"/>
      <c r="U110" s="6"/>
      <c r="V110" s="26" t="s">
        <v>1464</v>
      </c>
    </row>
    <row r="111" spans="1:22" s="4" customFormat="1" hidden="1">
      <c r="A111" s="17">
        <v>502</v>
      </c>
      <c r="B111" s="6" t="s">
        <v>1254</v>
      </c>
      <c r="C111" s="6" t="s">
        <v>1520</v>
      </c>
      <c r="D111" s="6"/>
      <c r="E111" s="6" t="s">
        <v>40</v>
      </c>
      <c r="F111" s="21">
        <v>10111956</v>
      </c>
      <c r="G111" s="21" t="str">
        <f t="shared" si="2"/>
        <v>1956</v>
      </c>
      <c r="H111" s="22">
        <f t="shared" si="3"/>
        <v>70</v>
      </c>
      <c r="I111" s="23"/>
      <c r="J111" s="20" t="s">
        <v>27</v>
      </c>
      <c r="K111" s="6" t="s">
        <v>259</v>
      </c>
      <c r="L111" s="25"/>
      <c r="M111" s="45" t="s">
        <v>1521</v>
      </c>
      <c r="N111" s="6"/>
      <c r="O111" s="6" t="s">
        <v>1467</v>
      </c>
      <c r="P111" s="6">
        <v>155</v>
      </c>
      <c r="Q111" s="6">
        <v>48</v>
      </c>
      <c r="R111" s="26"/>
      <c r="S111" s="26"/>
      <c r="T111" s="26"/>
      <c r="U111" s="6"/>
      <c r="V111" s="26" t="s">
        <v>1464</v>
      </c>
    </row>
    <row r="112" spans="1:22" s="4" customFormat="1" hidden="1">
      <c r="A112" s="20">
        <v>503</v>
      </c>
      <c r="B112" s="6" t="s">
        <v>1254</v>
      </c>
      <c r="C112" s="6" t="s">
        <v>1522</v>
      </c>
      <c r="D112" s="6"/>
      <c r="E112" s="6" t="s">
        <v>40</v>
      </c>
      <c r="F112" s="21">
        <v>1011963</v>
      </c>
      <c r="G112" s="21" t="str">
        <f t="shared" si="2"/>
        <v>1963</v>
      </c>
      <c r="H112" s="22">
        <f t="shared" si="3"/>
        <v>63</v>
      </c>
      <c r="I112" s="23"/>
      <c r="J112" s="20" t="s">
        <v>27</v>
      </c>
      <c r="K112" s="6" t="s">
        <v>259</v>
      </c>
      <c r="L112" s="25"/>
      <c r="M112" s="45" t="s">
        <v>1523</v>
      </c>
      <c r="N112" s="6"/>
      <c r="O112" s="6" t="s">
        <v>1146</v>
      </c>
      <c r="P112" s="6">
        <v>154</v>
      </c>
      <c r="Q112" s="6">
        <v>54</v>
      </c>
      <c r="R112" s="26">
        <v>78</v>
      </c>
      <c r="S112" s="26"/>
      <c r="T112" s="26"/>
      <c r="U112" s="6"/>
      <c r="V112" s="26" t="s">
        <v>1464</v>
      </c>
    </row>
    <row r="113" spans="1:22" s="4" customFormat="1">
      <c r="A113" s="17">
        <v>504</v>
      </c>
      <c r="B113" s="6" t="s">
        <v>1254</v>
      </c>
      <c r="C113" s="6" t="s">
        <v>1524</v>
      </c>
      <c r="D113" s="6"/>
      <c r="E113" s="6" t="s">
        <v>2374</v>
      </c>
      <c r="F113" s="21">
        <v>14061996</v>
      </c>
      <c r="G113" s="21" t="str">
        <f t="shared" si="2"/>
        <v>1996</v>
      </c>
      <c r="H113" s="22">
        <f t="shared" si="3"/>
        <v>30</v>
      </c>
      <c r="I113" s="23" t="s">
        <v>27</v>
      </c>
      <c r="J113" s="20"/>
      <c r="K113" s="6" t="s">
        <v>259</v>
      </c>
      <c r="L113" s="25"/>
      <c r="M113" s="45" t="s">
        <v>1525</v>
      </c>
      <c r="N113" s="6"/>
      <c r="O113" s="6" t="s">
        <v>87</v>
      </c>
      <c r="P113" s="6">
        <v>156</v>
      </c>
      <c r="Q113" s="6">
        <v>56</v>
      </c>
      <c r="R113" s="26">
        <v>76</v>
      </c>
      <c r="S113" s="26"/>
      <c r="T113" s="26"/>
      <c r="U113" s="6"/>
      <c r="V113" s="26"/>
    </row>
    <row r="114" spans="1:22" s="4" customFormat="1" hidden="1">
      <c r="A114" s="20">
        <v>505</v>
      </c>
      <c r="B114" s="6" t="s">
        <v>1254</v>
      </c>
      <c r="C114" s="6" t="s">
        <v>1526</v>
      </c>
      <c r="D114" s="6"/>
      <c r="E114" s="6" t="s">
        <v>40</v>
      </c>
      <c r="F114" s="21">
        <v>16031965</v>
      </c>
      <c r="G114" s="21" t="str">
        <f t="shared" si="2"/>
        <v>1965</v>
      </c>
      <c r="H114" s="22">
        <f t="shared" si="3"/>
        <v>61</v>
      </c>
      <c r="I114" s="23" t="s">
        <v>27</v>
      </c>
      <c r="J114" s="20"/>
      <c r="K114" s="6" t="s">
        <v>259</v>
      </c>
      <c r="L114" s="25"/>
      <c r="M114" s="45" t="s">
        <v>1527</v>
      </c>
      <c r="N114" s="6"/>
      <c r="O114" s="6" t="s">
        <v>34</v>
      </c>
      <c r="P114" s="6">
        <v>170</v>
      </c>
      <c r="Q114" s="6">
        <v>60</v>
      </c>
      <c r="R114" s="26">
        <v>78</v>
      </c>
      <c r="S114" s="26"/>
      <c r="T114" s="26"/>
      <c r="U114" s="6"/>
      <c r="V114" s="26" t="s">
        <v>1464</v>
      </c>
    </row>
    <row r="115" spans="1:22" s="4" customFormat="1" hidden="1">
      <c r="A115" s="17">
        <v>506</v>
      </c>
      <c r="B115" s="6" t="s">
        <v>1254</v>
      </c>
      <c r="C115" s="6" t="s">
        <v>1528</v>
      </c>
      <c r="D115" s="6"/>
      <c r="E115" s="6" t="s">
        <v>40</v>
      </c>
      <c r="F115" s="21">
        <v>5071938</v>
      </c>
      <c r="G115" s="21" t="str">
        <f t="shared" si="2"/>
        <v>1938</v>
      </c>
      <c r="H115" s="22">
        <f t="shared" si="3"/>
        <v>88</v>
      </c>
      <c r="I115" s="23" t="s">
        <v>27</v>
      </c>
      <c r="J115" s="20"/>
      <c r="K115" s="6" t="s">
        <v>259</v>
      </c>
      <c r="L115" s="25"/>
      <c r="M115" s="45" t="s">
        <v>1529</v>
      </c>
      <c r="N115" s="6"/>
      <c r="O115" s="6" t="s">
        <v>284</v>
      </c>
      <c r="P115" s="6">
        <v>158</v>
      </c>
      <c r="Q115" s="6">
        <v>55</v>
      </c>
      <c r="R115" s="26">
        <v>75</v>
      </c>
      <c r="S115" s="26"/>
      <c r="T115" s="26"/>
      <c r="U115" s="6"/>
      <c r="V115" s="26" t="s">
        <v>1464</v>
      </c>
    </row>
    <row r="116" spans="1:22" s="4" customFormat="1">
      <c r="A116" s="20">
        <v>507</v>
      </c>
      <c r="B116" s="6" t="s">
        <v>1254</v>
      </c>
      <c r="C116" s="6" t="s">
        <v>1530</v>
      </c>
      <c r="D116" s="6"/>
      <c r="E116" s="6" t="s">
        <v>2374</v>
      </c>
      <c r="F116" s="21">
        <v>23031973</v>
      </c>
      <c r="G116" s="21" t="str">
        <f t="shared" si="2"/>
        <v>1973</v>
      </c>
      <c r="H116" s="22">
        <f t="shared" si="3"/>
        <v>53</v>
      </c>
      <c r="I116" s="23" t="s">
        <v>27</v>
      </c>
      <c r="J116" s="20"/>
      <c r="K116" s="6" t="s">
        <v>259</v>
      </c>
      <c r="L116" s="25"/>
      <c r="M116" s="45" t="s">
        <v>1531</v>
      </c>
      <c r="N116" s="6"/>
      <c r="O116" s="6" t="s">
        <v>784</v>
      </c>
      <c r="P116" s="6">
        <v>175</v>
      </c>
      <c r="Q116" s="6">
        <v>55</v>
      </c>
      <c r="R116" s="26">
        <v>80</v>
      </c>
      <c r="S116" s="26"/>
      <c r="T116" s="26"/>
      <c r="U116" s="6"/>
      <c r="V116" s="26"/>
    </row>
    <row r="117" spans="1:22" s="4" customFormat="1" hidden="1">
      <c r="A117" s="17">
        <v>508</v>
      </c>
      <c r="B117" s="6" t="s">
        <v>1254</v>
      </c>
      <c r="C117" s="6" t="s">
        <v>1532</v>
      </c>
      <c r="D117" s="6"/>
      <c r="E117" s="6" t="s">
        <v>40</v>
      </c>
      <c r="F117" s="21">
        <v>2031968</v>
      </c>
      <c r="G117" s="21" t="str">
        <f t="shared" si="2"/>
        <v>1968</v>
      </c>
      <c r="H117" s="22">
        <f t="shared" si="3"/>
        <v>58</v>
      </c>
      <c r="I117" s="23"/>
      <c r="J117" s="20" t="s">
        <v>27</v>
      </c>
      <c r="K117" s="6" t="s">
        <v>259</v>
      </c>
      <c r="L117" s="25"/>
      <c r="M117" s="45" t="s">
        <v>1533</v>
      </c>
      <c r="N117" s="6"/>
      <c r="O117" s="6" t="s">
        <v>34</v>
      </c>
      <c r="P117" s="6"/>
      <c r="Q117" s="6"/>
      <c r="R117" s="26"/>
      <c r="S117" s="26"/>
      <c r="T117" s="26"/>
      <c r="U117" s="6"/>
      <c r="V117" s="26"/>
    </row>
    <row r="118" spans="1:22" s="4" customFormat="1">
      <c r="A118" s="20">
        <v>509</v>
      </c>
      <c r="B118" s="6" t="s">
        <v>1254</v>
      </c>
      <c r="C118" s="6" t="s">
        <v>1534</v>
      </c>
      <c r="D118" s="6"/>
      <c r="E118" s="6" t="s">
        <v>2374</v>
      </c>
      <c r="F118" s="21">
        <v>6061969</v>
      </c>
      <c r="G118" s="21" t="str">
        <f t="shared" si="2"/>
        <v>1969</v>
      </c>
      <c r="H118" s="22">
        <f t="shared" si="3"/>
        <v>57</v>
      </c>
      <c r="I118" s="23" t="s">
        <v>27</v>
      </c>
      <c r="J118" s="20"/>
      <c r="K118" s="6" t="s">
        <v>259</v>
      </c>
      <c r="L118" s="25"/>
      <c r="M118" s="45" t="s">
        <v>1535</v>
      </c>
      <c r="N118" s="6"/>
      <c r="O118" s="6" t="s">
        <v>34</v>
      </c>
      <c r="P118" s="6">
        <v>167</v>
      </c>
      <c r="Q118" s="6">
        <v>74</v>
      </c>
      <c r="R118" s="26">
        <v>80</v>
      </c>
      <c r="S118" s="26"/>
      <c r="T118" s="26"/>
      <c r="U118" s="6"/>
      <c r="V118" s="26"/>
    </row>
    <row r="119" spans="1:22" s="4" customFormat="1" hidden="1">
      <c r="A119" s="17">
        <v>510</v>
      </c>
      <c r="B119" s="6" t="s">
        <v>1254</v>
      </c>
      <c r="C119" s="6" t="s">
        <v>1536</v>
      </c>
      <c r="D119" s="6"/>
      <c r="E119" s="6" t="s">
        <v>40</v>
      </c>
      <c r="F119" s="21">
        <v>2101964</v>
      </c>
      <c r="G119" s="21" t="str">
        <f t="shared" si="2"/>
        <v>1964</v>
      </c>
      <c r="H119" s="22">
        <f t="shared" si="3"/>
        <v>62</v>
      </c>
      <c r="I119" s="23"/>
      <c r="J119" s="20" t="s">
        <v>27</v>
      </c>
      <c r="K119" s="6" t="s">
        <v>259</v>
      </c>
      <c r="L119" s="5"/>
      <c r="M119" s="45" t="s">
        <v>1537</v>
      </c>
      <c r="N119" s="6"/>
      <c r="O119" s="6" t="s">
        <v>536</v>
      </c>
      <c r="P119" s="6">
        <v>150</v>
      </c>
      <c r="Q119" s="6">
        <v>42</v>
      </c>
      <c r="R119" s="26">
        <v>82</v>
      </c>
      <c r="S119" s="26"/>
      <c r="T119" s="26"/>
      <c r="U119" s="6"/>
      <c r="V119" s="26" t="s">
        <v>1464</v>
      </c>
    </row>
    <row r="120" spans="1:22" s="4" customFormat="1">
      <c r="A120" s="20">
        <v>511</v>
      </c>
      <c r="B120" s="6" t="s">
        <v>1254</v>
      </c>
      <c r="C120" s="6" t="s">
        <v>1538</v>
      </c>
      <c r="D120" s="6"/>
      <c r="E120" s="6" t="s">
        <v>2374</v>
      </c>
      <c r="F120" s="21">
        <v>1011967</v>
      </c>
      <c r="G120" s="21" t="str">
        <f t="shared" si="2"/>
        <v>1967</v>
      </c>
      <c r="H120" s="22">
        <f t="shared" si="3"/>
        <v>59</v>
      </c>
      <c r="I120" s="23" t="s">
        <v>27</v>
      </c>
      <c r="J120" s="20"/>
      <c r="K120" s="6" t="s">
        <v>259</v>
      </c>
      <c r="L120" s="25"/>
      <c r="M120" s="45" t="s">
        <v>1539</v>
      </c>
      <c r="N120" s="6"/>
      <c r="O120" s="6" t="s">
        <v>34</v>
      </c>
      <c r="P120" s="6">
        <v>167</v>
      </c>
      <c r="Q120" s="6">
        <v>50</v>
      </c>
      <c r="R120" s="26">
        <v>80</v>
      </c>
      <c r="S120" s="26"/>
      <c r="T120" s="26"/>
      <c r="U120" s="6"/>
      <c r="V120" s="26" t="s">
        <v>1540</v>
      </c>
    </row>
    <row r="121" spans="1:22" s="4" customFormat="1" hidden="1">
      <c r="A121" s="17">
        <v>512</v>
      </c>
      <c r="B121" s="6" t="s">
        <v>1254</v>
      </c>
      <c r="C121" s="6" t="s">
        <v>1541</v>
      </c>
      <c r="D121" s="6"/>
      <c r="E121" s="6" t="s">
        <v>40</v>
      </c>
      <c r="F121" s="21">
        <v>5101952</v>
      </c>
      <c r="G121" s="21" t="str">
        <f t="shared" si="2"/>
        <v>1952</v>
      </c>
      <c r="H121" s="22">
        <f t="shared" si="3"/>
        <v>74</v>
      </c>
      <c r="I121" s="23"/>
      <c r="J121" s="20" t="s">
        <v>27</v>
      </c>
      <c r="K121" s="6" t="s">
        <v>259</v>
      </c>
      <c r="L121" s="25"/>
      <c r="M121" s="45" t="s">
        <v>1542</v>
      </c>
      <c r="N121" s="6"/>
      <c r="O121" s="6" t="s">
        <v>284</v>
      </c>
      <c r="P121" s="6">
        <v>158</v>
      </c>
      <c r="Q121" s="6">
        <v>60</v>
      </c>
      <c r="R121" s="26">
        <v>70</v>
      </c>
      <c r="S121" s="26"/>
      <c r="T121" s="26"/>
      <c r="U121" s="6"/>
      <c r="V121" s="26" t="s">
        <v>252</v>
      </c>
    </row>
    <row r="122" spans="1:22" s="4" customFormat="1">
      <c r="A122" s="20">
        <v>513</v>
      </c>
      <c r="B122" s="6" t="s">
        <v>1254</v>
      </c>
      <c r="C122" s="6" t="s">
        <v>1543</v>
      </c>
      <c r="D122" s="6"/>
      <c r="E122" s="6" t="s">
        <v>2374</v>
      </c>
      <c r="F122" s="21">
        <v>14031991</v>
      </c>
      <c r="G122" s="21" t="str">
        <f t="shared" si="2"/>
        <v>1991</v>
      </c>
      <c r="H122" s="22">
        <f t="shared" si="3"/>
        <v>35</v>
      </c>
      <c r="I122" s="23" t="s">
        <v>27</v>
      </c>
      <c r="J122" s="20"/>
      <c r="K122" s="6" t="s">
        <v>259</v>
      </c>
      <c r="L122" s="25"/>
      <c r="M122" s="45" t="s">
        <v>1544</v>
      </c>
      <c r="N122" s="6"/>
      <c r="O122" s="6" t="s">
        <v>288</v>
      </c>
      <c r="P122" s="6">
        <v>169</v>
      </c>
      <c r="Q122" s="6">
        <v>75</v>
      </c>
      <c r="R122" s="26">
        <v>80</v>
      </c>
      <c r="S122" s="26"/>
      <c r="T122" s="26"/>
      <c r="U122" s="6"/>
      <c r="V122" s="26" t="s">
        <v>252</v>
      </c>
    </row>
    <row r="123" spans="1:22" s="4" customFormat="1" hidden="1">
      <c r="A123" s="17">
        <v>514</v>
      </c>
      <c r="B123" s="6" t="s">
        <v>1254</v>
      </c>
      <c r="C123" s="6" t="s">
        <v>1545</v>
      </c>
      <c r="D123" s="6"/>
      <c r="E123" s="6" t="s">
        <v>40</v>
      </c>
      <c r="F123" s="21">
        <v>13031958</v>
      </c>
      <c r="G123" s="21" t="str">
        <f t="shared" si="2"/>
        <v>1958</v>
      </c>
      <c r="H123" s="22">
        <f t="shared" si="3"/>
        <v>68</v>
      </c>
      <c r="I123" s="23"/>
      <c r="J123" s="20" t="s">
        <v>27</v>
      </c>
      <c r="K123" s="6" t="s">
        <v>259</v>
      </c>
      <c r="L123" s="25"/>
      <c r="M123" s="45" t="s">
        <v>1546</v>
      </c>
      <c r="N123" s="6"/>
      <c r="O123" s="6" t="s">
        <v>87</v>
      </c>
      <c r="P123" s="6">
        <v>160</v>
      </c>
      <c r="Q123" s="6">
        <v>58</v>
      </c>
      <c r="R123" s="26">
        <v>78</v>
      </c>
      <c r="S123" s="26"/>
      <c r="T123" s="26"/>
      <c r="U123" s="6"/>
      <c r="V123" s="26" t="s">
        <v>1464</v>
      </c>
    </row>
    <row r="124" spans="1:22" s="4" customFormat="1" hidden="1">
      <c r="A124" s="20">
        <v>515</v>
      </c>
      <c r="B124" s="6" t="s">
        <v>1254</v>
      </c>
      <c r="C124" s="6" t="s">
        <v>1547</v>
      </c>
      <c r="D124" s="6"/>
      <c r="E124" s="6" t="s">
        <v>40</v>
      </c>
      <c r="F124" s="21">
        <v>12031960</v>
      </c>
      <c r="G124" s="21" t="str">
        <f t="shared" si="2"/>
        <v>1960</v>
      </c>
      <c r="H124" s="22">
        <f t="shared" si="3"/>
        <v>66</v>
      </c>
      <c r="I124" s="23" t="s">
        <v>27</v>
      </c>
      <c r="J124" s="20"/>
      <c r="K124" s="6" t="s">
        <v>259</v>
      </c>
      <c r="L124" s="25"/>
      <c r="M124" s="45" t="s">
        <v>1548</v>
      </c>
      <c r="N124" s="6"/>
      <c r="O124" s="6" t="s">
        <v>570</v>
      </c>
      <c r="P124" s="6">
        <v>170</v>
      </c>
      <c r="Q124" s="6">
        <v>65</v>
      </c>
      <c r="R124" s="26"/>
      <c r="S124" s="26"/>
      <c r="T124" s="26"/>
      <c r="U124" s="6"/>
      <c r="V124" s="26" t="s">
        <v>252</v>
      </c>
    </row>
    <row r="125" spans="1:22" s="4" customFormat="1" hidden="1">
      <c r="A125" s="17">
        <v>516</v>
      </c>
      <c r="B125" s="6" t="s">
        <v>1254</v>
      </c>
      <c r="C125" s="6" t="s">
        <v>1549</v>
      </c>
      <c r="D125" s="6"/>
      <c r="E125" s="6" t="s">
        <v>40</v>
      </c>
      <c r="F125" s="21">
        <v>1011966</v>
      </c>
      <c r="G125" s="21" t="str">
        <f t="shared" si="2"/>
        <v>1966</v>
      </c>
      <c r="H125" s="22">
        <f t="shared" si="3"/>
        <v>60</v>
      </c>
      <c r="I125" s="23" t="s">
        <v>27</v>
      </c>
      <c r="J125" s="20"/>
      <c r="K125" s="6" t="s">
        <v>259</v>
      </c>
      <c r="L125" s="25"/>
      <c r="M125" s="45" t="s">
        <v>1550</v>
      </c>
      <c r="N125" s="6"/>
      <c r="O125" s="6" t="s">
        <v>149</v>
      </c>
      <c r="P125" s="6">
        <v>155</v>
      </c>
      <c r="Q125" s="6">
        <v>55</v>
      </c>
      <c r="R125" s="26">
        <v>74</v>
      </c>
      <c r="S125" s="26"/>
      <c r="T125" s="26"/>
      <c r="U125" s="6"/>
      <c r="V125" s="26"/>
    </row>
    <row r="126" spans="1:22" s="4" customFormat="1" hidden="1">
      <c r="A126" s="20">
        <v>517</v>
      </c>
      <c r="B126" s="6" t="s">
        <v>1254</v>
      </c>
      <c r="C126" s="6" t="s">
        <v>1551</v>
      </c>
      <c r="D126" s="6"/>
      <c r="E126" s="6" t="s">
        <v>40</v>
      </c>
      <c r="F126" s="21">
        <v>2101955</v>
      </c>
      <c r="G126" s="21" t="str">
        <f t="shared" si="2"/>
        <v>1955</v>
      </c>
      <c r="H126" s="22">
        <f t="shared" si="3"/>
        <v>71</v>
      </c>
      <c r="I126" s="23"/>
      <c r="J126" s="20" t="s">
        <v>27</v>
      </c>
      <c r="K126" s="6" t="s">
        <v>259</v>
      </c>
      <c r="L126" s="25"/>
      <c r="M126" s="45" t="s">
        <v>1552</v>
      </c>
      <c r="N126" s="6"/>
      <c r="O126" s="6" t="s">
        <v>60</v>
      </c>
      <c r="P126" s="6">
        <v>150</v>
      </c>
      <c r="Q126" s="6">
        <v>61</v>
      </c>
      <c r="R126" s="26">
        <v>85</v>
      </c>
      <c r="S126" s="26"/>
      <c r="T126" s="26"/>
      <c r="U126" s="6"/>
      <c r="V126" s="26"/>
    </row>
    <row r="127" spans="1:22" s="4" customFormat="1" hidden="1">
      <c r="A127" s="17">
        <v>518</v>
      </c>
      <c r="B127" s="6" t="s">
        <v>1254</v>
      </c>
      <c r="C127" s="6" t="s">
        <v>1553</v>
      </c>
      <c r="D127" s="6"/>
      <c r="E127" s="6" t="s">
        <v>40</v>
      </c>
      <c r="F127" s="21">
        <v>10121964</v>
      </c>
      <c r="G127" s="21" t="str">
        <f t="shared" si="2"/>
        <v>1964</v>
      </c>
      <c r="H127" s="22">
        <f t="shared" si="3"/>
        <v>62</v>
      </c>
      <c r="I127" s="23" t="s">
        <v>27</v>
      </c>
      <c r="J127" s="20"/>
      <c r="K127" s="6" t="s">
        <v>259</v>
      </c>
      <c r="L127" s="25"/>
      <c r="M127" s="45" t="s">
        <v>1554</v>
      </c>
      <c r="N127" s="6"/>
      <c r="O127" s="6" t="s">
        <v>34</v>
      </c>
      <c r="P127" s="6">
        <v>162</v>
      </c>
      <c r="Q127" s="6">
        <v>58</v>
      </c>
      <c r="R127" s="26">
        <v>80</v>
      </c>
      <c r="S127" s="26"/>
      <c r="T127" s="26"/>
      <c r="U127" s="6"/>
      <c r="V127" s="26"/>
    </row>
    <row r="128" spans="1:22" s="4" customFormat="1" hidden="1">
      <c r="A128" s="20">
        <v>519</v>
      </c>
      <c r="B128" s="6" t="s">
        <v>1254</v>
      </c>
      <c r="C128" s="6" t="s">
        <v>1555</v>
      </c>
      <c r="D128" s="6"/>
      <c r="E128" s="6" t="s">
        <v>40</v>
      </c>
      <c r="F128" s="21">
        <v>8021963</v>
      </c>
      <c r="G128" s="21" t="str">
        <f t="shared" si="2"/>
        <v>1963</v>
      </c>
      <c r="H128" s="22">
        <f t="shared" si="3"/>
        <v>63</v>
      </c>
      <c r="I128" s="23"/>
      <c r="J128" s="20" t="s">
        <v>27</v>
      </c>
      <c r="K128" s="6" t="s">
        <v>259</v>
      </c>
      <c r="L128" s="25"/>
      <c r="M128" s="45" t="s">
        <v>1556</v>
      </c>
      <c r="N128" s="6"/>
      <c r="O128" s="6" t="s">
        <v>113</v>
      </c>
      <c r="P128" s="6">
        <v>155</v>
      </c>
      <c r="Q128" s="6">
        <v>53</v>
      </c>
      <c r="R128" s="26">
        <v>78</v>
      </c>
      <c r="S128" s="26"/>
      <c r="T128" s="26"/>
      <c r="U128" s="6"/>
      <c r="V128" s="26" t="s">
        <v>1557</v>
      </c>
    </row>
    <row r="129" spans="1:22" s="4" customFormat="1" hidden="1">
      <c r="A129" s="17">
        <v>520</v>
      </c>
      <c r="B129" s="6" t="s">
        <v>1254</v>
      </c>
      <c r="C129" s="6" t="s">
        <v>1558</v>
      </c>
      <c r="D129" s="6"/>
      <c r="E129" s="6" t="s">
        <v>40</v>
      </c>
      <c r="F129" s="21">
        <v>1011966</v>
      </c>
      <c r="G129" s="21" t="str">
        <f t="shared" si="2"/>
        <v>1966</v>
      </c>
      <c r="H129" s="22">
        <f t="shared" si="3"/>
        <v>60</v>
      </c>
      <c r="I129" s="23"/>
      <c r="J129" s="20" t="s">
        <v>27</v>
      </c>
      <c r="K129" s="6" t="s">
        <v>259</v>
      </c>
      <c r="L129" s="25"/>
      <c r="M129" s="45" t="s">
        <v>1559</v>
      </c>
      <c r="N129" s="6"/>
      <c r="O129" s="6" t="s">
        <v>34</v>
      </c>
      <c r="P129" s="6">
        <v>164</v>
      </c>
      <c r="Q129" s="6">
        <v>70</v>
      </c>
      <c r="R129" s="26"/>
      <c r="S129" s="26"/>
      <c r="T129" s="26"/>
      <c r="U129" s="6"/>
      <c r="V129" s="26"/>
    </row>
    <row r="130" spans="1:22" s="4" customFormat="1" hidden="1">
      <c r="A130" s="20">
        <v>521</v>
      </c>
      <c r="B130" s="6" t="s">
        <v>1254</v>
      </c>
      <c r="C130" s="6" t="s">
        <v>1560</v>
      </c>
      <c r="D130" s="6"/>
      <c r="E130" s="6" t="s">
        <v>40</v>
      </c>
      <c r="F130" s="21">
        <v>1011950</v>
      </c>
      <c r="G130" s="21" t="str">
        <f t="shared" si="2"/>
        <v>1950</v>
      </c>
      <c r="H130" s="22">
        <f t="shared" si="3"/>
        <v>76</v>
      </c>
      <c r="I130" s="23"/>
      <c r="J130" s="20" t="s">
        <v>27</v>
      </c>
      <c r="K130" s="6" t="s">
        <v>259</v>
      </c>
      <c r="L130" s="25"/>
      <c r="M130" s="45" t="s">
        <v>1561</v>
      </c>
      <c r="N130" s="6"/>
      <c r="O130" s="6" t="s">
        <v>143</v>
      </c>
      <c r="P130" s="6"/>
      <c r="Q130" s="6"/>
      <c r="R130" s="26"/>
      <c r="S130" s="26"/>
      <c r="T130" s="26"/>
      <c r="U130" s="6"/>
      <c r="V130" s="26"/>
    </row>
    <row r="131" spans="1:22" s="4" customFormat="1" hidden="1">
      <c r="A131" s="17">
        <v>522</v>
      </c>
      <c r="B131" s="6" t="s">
        <v>1254</v>
      </c>
      <c r="C131" s="6" t="s">
        <v>1562</v>
      </c>
      <c r="D131" s="6"/>
      <c r="E131" s="6" t="s">
        <v>40</v>
      </c>
      <c r="F131" s="21">
        <v>4041960</v>
      </c>
      <c r="G131" s="21" t="str">
        <f t="shared" ref="G131" si="4">RIGHT(F131,4)</f>
        <v>1960</v>
      </c>
      <c r="H131" s="22">
        <f t="shared" ref="H131:H194" si="5">2026-G131</f>
        <v>66</v>
      </c>
      <c r="I131" s="23" t="s">
        <v>27</v>
      </c>
      <c r="J131" s="20"/>
      <c r="K131" s="6" t="s">
        <v>259</v>
      </c>
      <c r="L131" s="25"/>
      <c r="M131" s="45" t="s">
        <v>1563</v>
      </c>
      <c r="N131" s="6"/>
      <c r="O131" s="6" t="s">
        <v>143</v>
      </c>
      <c r="P131" s="6">
        <v>165</v>
      </c>
      <c r="Q131" s="6">
        <v>53</v>
      </c>
      <c r="R131" s="26">
        <v>78</v>
      </c>
      <c r="S131" s="26"/>
      <c r="T131" s="26"/>
      <c r="U131" s="6"/>
      <c r="V131" s="26" t="s">
        <v>252</v>
      </c>
    </row>
    <row r="132" spans="1:22" s="4" customFormat="1" hidden="1">
      <c r="A132" s="20">
        <v>523</v>
      </c>
      <c r="B132" s="6" t="s">
        <v>1254</v>
      </c>
      <c r="C132" s="6" t="s">
        <v>1564</v>
      </c>
      <c r="D132" s="6"/>
      <c r="E132" s="6" t="s">
        <v>40</v>
      </c>
      <c r="F132" s="33">
        <v>17746</v>
      </c>
      <c r="G132" s="21">
        <f t="shared" ref="G132:G151" si="6">YEAR(F132)</f>
        <v>1948</v>
      </c>
      <c r="H132" s="22">
        <f t="shared" si="5"/>
        <v>78</v>
      </c>
      <c r="I132" s="23" t="s">
        <v>27</v>
      </c>
      <c r="J132" s="20"/>
      <c r="K132" s="6" t="s">
        <v>1256</v>
      </c>
      <c r="L132" s="25"/>
      <c r="M132" s="25" t="s">
        <v>1565</v>
      </c>
      <c r="N132" s="6"/>
      <c r="O132" s="6" t="s">
        <v>570</v>
      </c>
      <c r="P132" s="6">
        <v>165</v>
      </c>
      <c r="Q132" s="6">
        <v>73</v>
      </c>
      <c r="R132" s="26">
        <v>86</v>
      </c>
      <c r="S132" s="26"/>
      <c r="T132" s="26"/>
      <c r="U132" s="6"/>
      <c r="V132" s="26" t="s">
        <v>1566</v>
      </c>
    </row>
    <row r="133" spans="1:22" s="4" customFormat="1" hidden="1">
      <c r="A133" s="17">
        <v>524</v>
      </c>
      <c r="B133" s="6" t="s">
        <v>1254</v>
      </c>
      <c r="C133" s="6" t="s">
        <v>1567</v>
      </c>
      <c r="D133" s="6"/>
      <c r="E133" s="6" t="s">
        <v>40</v>
      </c>
      <c r="F133" s="33">
        <v>18994</v>
      </c>
      <c r="G133" s="21">
        <f t="shared" si="6"/>
        <v>1952</v>
      </c>
      <c r="H133" s="22">
        <f t="shared" si="5"/>
        <v>74</v>
      </c>
      <c r="I133" s="23" t="s">
        <v>27</v>
      </c>
      <c r="J133" s="20"/>
      <c r="K133" s="6" t="s">
        <v>1256</v>
      </c>
      <c r="L133" s="25"/>
      <c r="M133" s="25" t="s">
        <v>1568</v>
      </c>
      <c r="N133" s="6"/>
      <c r="O133" s="6" t="s">
        <v>941</v>
      </c>
      <c r="P133" s="6">
        <v>170</v>
      </c>
      <c r="Q133" s="6">
        <v>58</v>
      </c>
      <c r="R133" s="26">
        <v>85</v>
      </c>
      <c r="S133" s="26"/>
      <c r="T133" s="26"/>
      <c r="U133" s="6"/>
      <c r="V133" s="26" t="s">
        <v>1569</v>
      </c>
    </row>
    <row r="134" spans="1:22" s="4" customFormat="1" hidden="1">
      <c r="A134" s="20">
        <v>525</v>
      </c>
      <c r="B134" s="6" t="s">
        <v>1254</v>
      </c>
      <c r="C134" s="6" t="s">
        <v>1570</v>
      </c>
      <c r="D134" s="6"/>
      <c r="E134" s="6" t="s">
        <v>40</v>
      </c>
      <c r="F134" s="33">
        <v>24381</v>
      </c>
      <c r="G134" s="21">
        <f t="shared" si="6"/>
        <v>1966</v>
      </c>
      <c r="H134" s="22">
        <f t="shared" si="5"/>
        <v>60</v>
      </c>
      <c r="I134" s="23" t="s">
        <v>27</v>
      </c>
      <c r="J134" s="20"/>
      <c r="K134" s="6" t="s">
        <v>1571</v>
      </c>
      <c r="L134" s="25"/>
      <c r="M134" s="25" t="s">
        <v>1572</v>
      </c>
      <c r="N134" s="6"/>
      <c r="O134" s="6" t="s">
        <v>87</v>
      </c>
      <c r="P134" s="6">
        <v>175</v>
      </c>
      <c r="Q134" s="6">
        <v>84</v>
      </c>
      <c r="R134" s="26">
        <v>100</v>
      </c>
      <c r="S134" s="26"/>
      <c r="T134" s="26"/>
      <c r="U134" s="6"/>
      <c r="V134" s="26" t="s">
        <v>1573</v>
      </c>
    </row>
    <row r="135" spans="1:22" s="4" customFormat="1">
      <c r="A135" s="17">
        <v>526</v>
      </c>
      <c r="B135" s="6" t="s">
        <v>1254</v>
      </c>
      <c r="C135" s="6" t="s">
        <v>1574</v>
      </c>
      <c r="D135" s="6"/>
      <c r="E135" s="6" t="s">
        <v>2374</v>
      </c>
      <c r="F135" s="33">
        <v>26916</v>
      </c>
      <c r="G135" s="21">
        <f t="shared" si="6"/>
        <v>1973</v>
      </c>
      <c r="H135" s="22">
        <f t="shared" si="5"/>
        <v>53</v>
      </c>
      <c r="I135" s="23" t="s">
        <v>27</v>
      </c>
      <c r="J135" s="20"/>
      <c r="K135" s="6" t="s">
        <v>1256</v>
      </c>
      <c r="L135" s="25"/>
      <c r="M135" s="25" t="s">
        <v>1575</v>
      </c>
      <c r="N135" s="6"/>
      <c r="O135" s="6" t="s">
        <v>1576</v>
      </c>
      <c r="P135" s="6">
        <v>164</v>
      </c>
      <c r="Q135" s="6">
        <v>53</v>
      </c>
      <c r="R135" s="26">
        <v>77</v>
      </c>
      <c r="S135" s="26"/>
      <c r="T135" s="26"/>
      <c r="U135" s="6"/>
      <c r="V135" s="26" t="s">
        <v>1577</v>
      </c>
    </row>
    <row r="136" spans="1:22" s="4" customFormat="1" hidden="1">
      <c r="A136" s="20">
        <v>527</v>
      </c>
      <c r="B136" s="6" t="s">
        <v>1254</v>
      </c>
      <c r="C136" s="6" t="s">
        <v>1578</v>
      </c>
      <c r="D136" s="6"/>
      <c r="E136" s="6" t="s">
        <v>40</v>
      </c>
      <c r="F136" s="33">
        <v>16051</v>
      </c>
      <c r="G136" s="21">
        <f t="shared" si="6"/>
        <v>1943</v>
      </c>
      <c r="H136" s="22">
        <f t="shared" si="5"/>
        <v>83</v>
      </c>
      <c r="I136" s="23" t="s">
        <v>27</v>
      </c>
      <c r="J136" s="20"/>
      <c r="K136" s="6" t="s">
        <v>1256</v>
      </c>
      <c r="L136" s="25"/>
      <c r="M136" s="25" t="s">
        <v>1579</v>
      </c>
      <c r="N136" s="6"/>
      <c r="O136" s="6" t="s">
        <v>930</v>
      </c>
      <c r="P136" s="6">
        <v>160</v>
      </c>
      <c r="Q136" s="6">
        <v>50</v>
      </c>
      <c r="R136" s="26">
        <v>88</v>
      </c>
      <c r="S136" s="26"/>
      <c r="T136" s="26"/>
      <c r="U136" s="6"/>
      <c r="V136" s="26" t="s">
        <v>1580</v>
      </c>
    </row>
    <row r="137" spans="1:22" s="4" customFormat="1" hidden="1">
      <c r="A137" s="17">
        <v>528</v>
      </c>
      <c r="B137" s="6" t="s">
        <v>1254</v>
      </c>
      <c r="C137" s="6" t="s">
        <v>1581</v>
      </c>
      <c r="D137" s="6"/>
      <c r="E137" s="6" t="s">
        <v>40</v>
      </c>
      <c r="F137" s="33">
        <v>22799</v>
      </c>
      <c r="G137" s="21">
        <f t="shared" si="6"/>
        <v>1962</v>
      </c>
      <c r="H137" s="22">
        <f t="shared" si="5"/>
        <v>64</v>
      </c>
      <c r="I137" s="23" t="s">
        <v>27</v>
      </c>
      <c r="J137" s="20"/>
      <c r="K137" s="6" t="s">
        <v>1256</v>
      </c>
      <c r="L137" s="25"/>
      <c r="M137" s="25" t="s">
        <v>1582</v>
      </c>
      <c r="N137" s="6"/>
      <c r="O137" s="6" t="s">
        <v>263</v>
      </c>
      <c r="P137" s="6">
        <v>159</v>
      </c>
      <c r="Q137" s="6">
        <v>53</v>
      </c>
      <c r="R137" s="26">
        <v>61</v>
      </c>
      <c r="S137" s="26"/>
      <c r="T137" s="26"/>
      <c r="U137" s="6"/>
      <c r="V137" s="26" t="s">
        <v>1583</v>
      </c>
    </row>
    <row r="138" spans="1:22" s="4" customFormat="1" hidden="1">
      <c r="A138" s="20">
        <v>529</v>
      </c>
      <c r="B138" s="6" t="s">
        <v>1254</v>
      </c>
      <c r="C138" s="6" t="s">
        <v>1584</v>
      </c>
      <c r="D138" s="6"/>
      <c r="E138" s="6" t="s">
        <v>40</v>
      </c>
      <c r="F138" s="33">
        <v>24108</v>
      </c>
      <c r="G138" s="21">
        <f t="shared" si="6"/>
        <v>1966</v>
      </c>
      <c r="H138" s="22">
        <f t="shared" si="5"/>
        <v>60</v>
      </c>
      <c r="I138" s="23"/>
      <c r="J138" s="20" t="s">
        <v>27</v>
      </c>
      <c r="K138" s="6" t="s">
        <v>1256</v>
      </c>
      <c r="L138" s="25"/>
      <c r="M138" s="25" t="s">
        <v>1585</v>
      </c>
      <c r="N138" s="6"/>
      <c r="O138" s="6" t="s">
        <v>149</v>
      </c>
      <c r="P138" s="6">
        <v>153</v>
      </c>
      <c r="Q138" s="6">
        <v>60</v>
      </c>
      <c r="R138" s="26">
        <v>70</v>
      </c>
      <c r="S138" s="26"/>
      <c r="T138" s="26"/>
      <c r="U138" s="6"/>
      <c r="V138" s="26" t="s">
        <v>1586</v>
      </c>
    </row>
    <row r="139" spans="1:22" s="4" customFormat="1" hidden="1">
      <c r="A139" s="17">
        <v>530</v>
      </c>
      <c r="B139" s="6" t="s">
        <v>1254</v>
      </c>
      <c r="C139" s="6" t="s">
        <v>1587</v>
      </c>
      <c r="D139" s="6"/>
      <c r="E139" s="6" t="s">
        <v>40</v>
      </c>
      <c r="F139" s="33">
        <v>19734</v>
      </c>
      <c r="G139" s="21">
        <f t="shared" si="6"/>
        <v>1954</v>
      </c>
      <c r="H139" s="22">
        <f t="shared" si="5"/>
        <v>72</v>
      </c>
      <c r="I139" s="23"/>
      <c r="J139" s="20" t="s">
        <v>27</v>
      </c>
      <c r="K139" s="6" t="s">
        <v>1256</v>
      </c>
      <c r="L139" s="25"/>
      <c r="M139" s="25" t="s">
        <v>1588</v>
      </c>
      <c r="N139" s="6"/>
      <c r="O139" s="6" t="s">
        <v>1048</v>
      </c>
      <c r="P139" s="6">
        <v>153</v>
      </c>
      <c r="Q139" s="6">
        <v>44</v>
      </c>
      <c r="R139" s="26">
        <v>68</v>
      </c>
      <c r="S139" s="26"/>
      <c r="T139" s="26"/>
      <c r="U139" s="6"/>
      <c r="V139" s="26" t="s">
        <v>1589</v>
      </c>
    </row>
    <row r="140" spans="1:22" s="60" customFormat="1">
      <c r="A140" s="52">
        <v>531</v>
      </c>
      <c r="B140" s="53" t="s">
        <v>1254</v>
      </c>
      <c r="C140" s="53" t="s">
        <v>1590</v>
      </c>
      <c r="D140" s="53"/>
      <c r="E140" s="53" t="s">
        <v>2374</v>
      </c>
      <c r="F140" s="54">
        <v>27030</v>
      </c>
      <c r="G140" s="55">
        <f t="shared" si="6"/>
        <v>1974</v>
      </c>
      <c r="H140" s="56">
        <f t="shared" si="5"/>
        <v>52</v>
      </c>
      <c r="I140" s="57"/>
      <c r="J140" s="52" t="s">
        <v>27</v>
      </c>
      <c r="K140" s="53" t="s">
        <v>1256</v>
      </c>
      <c r="L140" s="58"/>
      <c r="M140" s="58" t="s">
        <v>1591</v>
      </c>
      <c r="N140" s="53"/>
      <c r="O140" s="53"/>
      <c r="P140" s="53"/>
      <c r="Q140" s="53"/>
      <c r="R140" s="59"/>
      <c r="S140" s="59"/>
      <c r="T140" s="59"/>
      <c r="U140" s="53"/>
      <c r="V140" s="59" t="s">
        <v>1592</v>
      </c>
    </row>
    <row r="141" spans="1:22" s="4" customFormat="1" hidden="1">
      <c r="A141" s="17">
        <v>532</v>
      </c>
      <c r="B141" s="6" t="s">
        <v>1254</v>
      </c>
      <c r="C141" s="6" t="s">
        <v>1593</v>
      </c>
      <c r="D141" s="6"/>
      <c r="E141" s="6" t="s">
        <v>40</v>
      </c>
      <c r="F141" s="33">
        <v>23472</v>
      </c>
      <c r="G141" s="21">
        <f t="shared" si="6"/>
        <v>1964</v>
      </c>
      <c r="H141" s="22">
        <f t="shared" si="5"/>
        <v>62</v>
      </c>
      <c r="I141" s="23"/>
      <c r="J141" s="20" t="s">
        <v>27</v>
      </c>
      <c r="K141" s="6" t="s">
        <v>1256</v>
      </c>
      <c r="L141" s="25"/>
      <c r="M141" s="25" t="s">
        <v>1594</v>
      </c>
      <c r="N141" s="6"/>
      <c r="O141" s="6" t="s">
        <v>1109</v>
      </c>
      <c r="P141" s="6">
        <v>153</v>
      </c>
      <c r="Q141" s="6">
        <v>48</v>
      </c>
      <c r="R141" s="26">
        <v>84</v>
      </c>
      <c r="S141" s="26"/>
      <c r="T141" s="26"/>
      <c r="U141" s="6"/>
      <c r="V141" s="26" t="s">
        <v>1595</v>
      </c>
    </row>
    <row r="142" spans="1:22" s="4" customFormat="1">
      <c r="A142" s="20">
        <v>533</v>
      </c>
      <c r="B142" s="6" t="s">
        <v>1254</v>
      </c>
      <c r="C142" s="6" t="s">
        <v>1596</v>
      </c>
      <c r="D142" s="6"/>
      <c r="E142" s="61" t="s">
        <v>2374</v>
      </c>
      <c r="F142" s="33">
        <v>24781</v>
      </c>
      <c r="G142" s="21">
        <f t="shared" si="6"/>
        <v>1967</v>
      </c>
      <c r="H142" s="22">
        <f t="shared" si="5"/>
        <v>59</v>
      </c>
      <c r="I142" s="23" t="s">
        <v>27</v>
      </c>
      <c r="J142" s="20"/>
      <c r="K142" s="6" t="s">
        <v>1256</v>
      </c>
      <c r="L142" s="25"/>
      <c r="M142" s="25" t="s">
        <v>1597</v>
      </c>
      <c r="N142" s="6"/>
      <c r="O142" s="6" t="s">
        <v>1109</v>
      </c>
      <c r="P142" s="6">
        <v>156</v>
      </c>
      <c r="Q142" s="6">
        <v>47</v>
      </c>
      <c r="R142" s="26">
        <v>90</v>
      </c>
      <c r="S142" s="26"/>
      <c r="T142" s="26"/>
      <c r="U142" s="6"/>
      <c r="V142" s="26" t="s">
        <v>1598</v>
      </c>
    </row>
    <row r="143" spans="1:22" s="4" customFormat="1">
      <c r="A143" s="17">
        <v>534</v>
      </c>
      <c r="B143" s="6" t="s">
        <v>1254</v>
      </c>
      <c r="C143" s="6" t="s">
        <v>88</v>
      </c>
      <c r="D143" s="6"/>
      <c r="E143" s="61" t="s">
        <v>2374</v>
      </c>
      <c r="F143" s="33">
        <v>31695</v>
      </c>
      <c r="G143" s="21">
        <f t="shared" si="6"/>
        <v>1986</v>
      </c>
      <c r="H143" s="22">
        <f t="shared" si="5"/>
        <v>40</v>
      </c>
      <c r="I143" s="23"/>
      <c r="J143" s="20" t="s">
        <v>27</v>
      </c>
      <c r="K143" s="6" t="s">
        <v>1256</v>
      </c>
      <c r="L143" s="25"/>
      <c r="M143" s="25" t="s">
        <v>1599</v>
      </c>
      <c r="N143" s="6"/>
      <c r="O143" s="6" t="s">
        <v>1600</v>
      </c>
      <c r="P143" s="6">
        <v>150</v>
      </c>
      <c r="Q143" s="6">
        <v>43</v>
      </c>
      <c r="R143" s="26">
        <v>52</v>
      </c>
      <c r="S143" s="26"/>
      <c r="T143" s="26"/>
      <c r="U143" s="6"/>
      <c r="V143" s="26" t="s">
        <v>1601</v>
      </c>
    </row>
    <row r="144" spans="1:22" s="4" customFormat="1" hidden="1">
      <c r="A144" s="20">
        <v>535</v>
      </c>
      <c r="B144" s="6" t="s">
        <v>1254</v>
      </c>
      <c r="C144" s="6" t="s">
        <v>1602</v>
      </c>
      <c r="D144" s="6"/>
      <c r="E144" s="6" t="s">
        <v>40</v>
      </c>
      <c r="F144" s="33">
        <v>16715</v>
      </c>
      <c r="G144" s="21">
        <f t="shared" si="6"/>
        <v>1945</v>
      </c>
      <c r="H144" s="22">
        <f t="shared" si="5"/>
        <v>81</v>
      </c>
      <c r="I144" s="23"/>
      <c r="J144" s="20" t="s">
        <v>27</v>
      </c>
      <c r="K144" s="6" t="s">
        <v>1256</v>
      </c>
      <c r="L144" s="25"/>
      <c r="M144" s="25" t="s">
        <v>1603</v>
      </c>
      <c r="N144" s="6"/>
      <c r="O144" s="6" t="s">
        <v>263</v>
      </c>
      <c r="P144" s="6">
        <v>160</v>
      </c>
      <c r="Q144" s="6">
        <v>46</v>
      </c>
      <c r="R144" s="26">
        <v>69</v>
      </c>
      <c r="S144" s="26"/>
      <c r="T144" s="26"/>
      <c r="U144" s="6"/>
      <c r="V144" s="26" t="s">
        <v>1604</v>
      </c>
    </row>
    <row r="145" spans="1:22" s="4" customFormat="1" hidden="1">
      <c r="A145" s="17">
        <v>536</v>
      </c>
      <c r="B145" s="6" t="s">
        <v>1254</v>
      </c>
      <c r="C145" s="6" t="s">
        <v>1605</v>
      </c>
      <c r="D145" s="6"/>
      <c r="E145" s="6" t="s">
        <v>40</v>
      </c>
      <c r="F145" s="33" t="s">
        <v>1606</v>
      </c>
      <c r="G145" s="21" t="e">
        <f t="shared" si="6"/>
        <v>#VALUE!</v>
      </c>
      <c r="H145" s="22" t="e">
        <f t="shared" si="5"/>
        <v>#VALUE!</v>
      </c>
      <c r="I145" s="23"/>
      <c r="J145" s="20" t="s">
        <v>27</v>
      </c>
      <c r="K145" s="6" t="s">
        <v>1256</v>
      </c>
      <c r="L145" s="25"/>
      <c r="M145" s="25" t="s">
        <v>1607</v>
      </c>
      <c r="N145" s="6"/>
      <c r="O145" s="6" t="s">
        <v>1608</v>
      </c>
      <c r="P145" s="6">
        <v>149</v>
      </c>
      <c r="Q145" s="6">
        <v>40</v>
      </c>
      <c r="R145" s="26">
        <v>71</v>
      </c>
      <c r="S145" s="26"/>
      <c r="T145" s="26"/>
      <c r="U145" s="6"/>
      <c r="V145" s="26" t="s">
        <v>1609</v>
      </c>
    </row>
    <row r="146" spans="1:22" s="4" customFormat="1" hidden="1">
      <c r="A146" s="20">
        <v>537</v>
      </c>
      <c r="B146" s="6" t="s">
        <v>1254</v>
      </c>
      <c r="C146" s="6" t="s">
        <v>354</v>
      </c>
      <c r="D146" s="6"/>
      <c r="E146" s="6" t="s">
        <v>261</v>
      </c>
      <c r="F146" s="33">
        <v>25973</v>
      </c>
      <c r="G146" s="21">
        <f t="shared" si="6"/>
        <v>1971</v>
      </c>
      <c r="H146" s="22">
        <f t="shared" si="5"/>
        <v>55</v>
      </c>
      <c r="I146" s="23"/>
      <c r="J146" s="20" t="s">
        <v>27</v>
      </c>
      <c r="K146" s="6" t="s">
        <v>1256</v>
      </c>
      <c r="L146" s="25"/>
      <c r="M146" s="25" t="s">
        <v>1610</v>
      </c>
      <c r="N146" s="6"/>
      <c r="O146" s="6" t="s">
        <v>113</v>
      </c>
      <c r="P146" s="6">
        <v>150</v>
      </c>
      <c r="Q146" s="6">
        <v>48</v>
      </c>
      <c r="R146" s="26">
        <v>75</v>
      </c>
      <c r="S146" s="26"/>
      <c r="T146" s="26"/>
      <c r="U146" s="6"/>
      <c r="V146" s="26" t="s">
        <v>1611</v>
      </c>
    </row>
    <row r="147" spans="1:22" s="4" customFormat="1" hidden="1">
      <c r="A147" s="17">
        <v>538</v>
      </c>
      <c r="B147" s="6" t="s">
        <v>1254</v>
      </c>
      <c r="C147" s="6" t="s">
        <v>957</v>
      </c>
      <c r="D147" s="6"/>
      <c r="E147" s="6" t="s">
        <v>40</v>
      </c>
      <c r="F147" s="33">
        <v>17721</v>
      </c>
      <c r="G147" s="21">
        <f t="shared" si="6"/>
        <v>1948</v>
      </c>
      <c r="H147" s="22">
        <f t="shared" si="5"/>
        <v>78</v>
      </c>
      <c r="I147" s="23"/>
      <c r="J147" s="20" t="s">
        <v>27</v>
      </c>
      <c r="K147" s="6" t="s">
        <v>1256</v>
      </c>
      <c r="L147" s="25"/>
      <c r="M147" s="25" t="s">
        <v>1612</v>
      </c>
      <c r="N147" s="6"/>
      <c r="O147" s="6" t="s">
        <v>149</v>
      </c>
      <c r="P147" s="6">
        <v>155</v>
      </c>
      <c r="Q147" s="6">
        <v>43</v>
      </c>
      <c r="R147" s="26">
        <v>73</v>
      </c>
      <c r="S147" s="26"/>
      <c r="T147" s="26"/>
      <c r="U147" s="6"/>
      <c r="V147" s="26" t="s">
        <v>1613</v>
      </c>
    </row>
    <row r="148" spans="1:22" s="4" customFormat="1">
      <c r="A148" s="20">
        <v>539</v>
      </c>
      <c r="B148" s="6" t="s">
        <v>1254</v>
      </c>
      <c r="C148" s="6" t="s">
        <v>1614</v>
      </c>
      <c r="D148" s="6"/>
      <c r="E148" s="61" t="s">
        <v>2374</v>
      </c>
      <c r="F148" s="33" t="s">
        <v>1615</v>
      </c>
      <c r="G148" s="21" t="e">
        <f t="shared" si="6"/>
        <v>#VALUE!</v>
      </c>
      <c r="H148" s="22" t="e">
        <f t="shared" si="5"/>
        <v>#VALUE!</v>
      </c>
      <c r="I148" s="23" t="s">
        <v>27</v>
      </c>
      <c r="J148" s="20"/>
      <c r="K148" s="6" t="s">
        <v>1256</v>
      </c>
      <c r="L148" s="25"/>
      <c r="M148" s="25" t="s">
        <v>1616</v>
      </c>
      <c r="N148" s="6"/>
      <c r="O148" s="6" t="s">
        <v>87</v>
      </c>
      <c r="P148" s="6">
        <v>163</v>
      </c>
      <c r="Q148" s="6">
        <v>55</v>
      </c>
      <c r="R148" s="26">
        <v>75</v>
      </c>
      <c r="S148" s="26"/>
      <c r="T148" s="26"/>
      <c r="U148" s="6"/>
      <c r="V148" s="26" t="s">
        <v>1617</v>
      </c>
    </row>
    <row r="149" spans="1:22" s="4" customFormat="1" hidden="1">
      <c r="A149" s="17">
        <v>540</v>
      </c>
      <c r="B149" s="6" t="s">
        <v>1254</v>
      </c>
      <c r="C149" s="6" t="s">
        <v>1618</v>
      </c>
      <c r="D149" s="6"/>
      <c r="E149" s="6" t="s">
        <v>40</v>
      </c>
      <c r="F149" s="33">
        <v>16530</v>
      </c>
      <c r="G149" s="21">
        <f t="shared" si="6"/>
        <v>1945</v>
      </c>
      <c r="H149" s="22">
        <f t="shared" si="5"/>
        <v>81</v>
      </c>
      <c r="I149" s="23" t="s">
        <v>27</v>
      </c>
      <c r="J149" s="20"/>
      <c r="K149" s="6" t="s">
        <v>1256</v>
      </c>
      <c r="L149" s="25"/>
      <c r="M149" s="25" t="s">
        <v>1619</v>
      </c>
      <c r="N149" s="6"/>
      <c r="O149" s="6" t="s">
        <v>60</v>
      </c>
      <c r="P149" s="6">
        <v>160</v>
      </c>
      <c r="Q149" s="6">
        <v>50</v>
      </c>
      <c r="R149" s="26">
        <v>60</v>
      </c>
      <c r="S149" s="26"/>
      <c r="T149" s="26"/>
      <c r="U149" s="6"/>
      <c r="V149" s="26" t="s">
        <v>1620</v>
      </c>
    </row>
    <row r="150" spans="1:22" s="4" customFormat="1" hidden="1">
      <c r="A150" s="17">
        <v>541</v>
      </c>
      <c r="B150" s="6" t="s">
        <v>1254</v>
      </c>
      <c r="C150" s="6" t="s">
        <v>1621</v>
      </c>
      <c r="D150" s="6"/>
      <c r="E150" s="6" t="s">
        <v>40</v>
      </c>
      <c r="F150" s="33">
        <v>16567</v>
      </c>
      <c r="G150" s="21">
        <f t="shared" si="6"/>
        <v>1945</v>
      </c>
      <c r="H150" s="22">
        <f t="shared" si="5"/>
        <v>81</v>
      </c>
      <c r="I150" s="23" t="s">
        <v>27</v>
      </c>
      <c r="J150" s="20"/>
      <c r="K150" s="6" t="s">
        <v>1256</v>
      </c>
      <c r="L150" s="25"/>
      <c r="M150" s="25" t="s">
        <v>1622</v>
      </c>
      <c r="N150" s="6"/>
      <c r="O150" s="6" t="s">
        <v>280</v>
      </c>
      <c r="P150" s="6">
        <v>175</v>
      </c>
      <c r="Q150" s="6">
        <v>62</v>
      </c>
      <c r="R150" s="26">
        <v>78</v>
      </c>
      <c r="S150" s="26"/>
      <c r="T150" s="26"/>
      <c r="U150" s="6"/>
      <c r="V150" s="26" t="s">
        <v>1623</v>
      </c>
    </row>
    <row r="151" spans="1:22" s="4" customFormat="1">
      <c r="A151" s="20">
        <v>542</v>
      </c>
      <c r="B151" s="6" t="s">
        <v>1254</v>
      </c>
      <c r="C151" s="6" t="s">
        <v>26</v>
      </c>
      <c r="D151" s="6"/>
      <c r="E151" s="61" t="s">
        <v>2374</v>
      </c>
      <c r="F151" s="33">
        <v>26330</v>
      </c>
      <c r="G151" s="21">
        <f t="shared" si="6"/>
        <v>1972</v>
      </c>
      <c r="H151" s="22">
        <f t="shared" si="5"/>
        <v>54</v>
      </c>
      <c r="I151" s="23"/>
      <c r="J151" s="20" t="s">
        <v>27</v>
      </c>
      <c r="K151" s="6" t="s">
        <v>1256</v>
      </c>
      <c r="L151" s="25"/>
      <c r="M151" s="25" t="s">
        <v>1624</v>
      </c>
      <c r="N151" s="6"/>
      <c r="O151" s="6" t="s">
        <v>784</v>
      </c>
      <c r="P151" s="6">
        <v>162</v>
      </c>
      <c r="Q151" s="6">
        <v>54</v>
      </c>
      <c r="R151" s="26">
        <v>75</v>
      </c>
      <c r="S151" s="26"/>
      <c r="T151" s="26"/>
      <c r="U151" s="6"/>
      <c r="V151" s="26" t="s">
        <v>1625</v>
      </c>
    </row>
    <row r="152" spans="1:22" s="4" customFormat="1" hidden="1">
      <c r="A152" s="17">
        <v>543</v>
      </c>
      <c r="B152" s="6" t="s">
        <v>1254</v>
      </c>
      <c r="C152" s="6" t="s">
        <v>1626</v>
      </c>
      <c r="D152" s="6"/>
      <c r="E152" s="6" t="s">
        <v>40</v>
      </c>
      <c r="F152" s="33" t="s">
        <v>1627</v>
      </c>
      <c r="G152" s="21" t="str">
        <f t="shared" ref="G152:G157" si="7">RIGHT(F152,4)</f>
        <v>1964</v>
      </c>
      <c r="H152" s="22">
        <f t="shared" si="5"/>
        <v>62</v>
      </c>
      <c r="I152" s="23"/>
      <c r="J152" s="20" t="s">
        <v>27</v>
      </c>
      <c r="K152" s="6" t="s">
        <v>1256</v>
      </c>
      <c r="L152" s="25"/>
      <c r="M152" s="25" t="s">
        <v>1628</v>
      </c>
      <c r="N152" s="6"/>
      <c r="O152" s="6" t="s">
        <v>42</v>
      </c>
      <c r="P152" s="6">
        <v>145</v>
      </c>
      <c r="Q152" s="6">
        <v>40</v>
      </c>
      <c r="R152" s="26">
        <v>72</v>
      </c>
      <c r="S152" s="26"/>
      <c r="T152" s="26"/>
      <c r="U152" s="6"/>
      <c r="V152" s="26" t="s">
        <v>1629</v>
      </c>
    </row>
    <row r="153" spans="1:22" s="4" customFormat="1" hidden="1">
      <c r="A153" s="20">
        <v>544</v>
      </c>
      <c r="B153" s="6" t="s">
        <v>1254</v>
      </c>
      <c r="C153" s="6" t="s">
        <v>1630</v>
      </c>
      <c r="D153" s="6"/>
      <c r="E153" s="6" t="s">
        <v>261</v>
      </c>
      <c r="F153" s="33" t="s">
        <v>1631</v>
      </c>
      <c r="G153" s="21" t="str">
        <f t="shared" si="7"/>
        <v>1958</v>
      </c>
      <c r="H153" s="22">
        <f t="shared" si="5"/>
        <v>68</v>
      </c>
      <c r="I153" s="23"/>
      <c r="J153" s="20" t="s">
        <v>27</v>
      </c>
      <c r="K153" s="6" t="s">
        <v>1256</v>
      </c>
      <c r="L153" s="25"/>
      <c r="M153" s="25" t="s">
        <v>1632</v>
      </c>
      <c r="N153" s="6"/>
      <c r="O153" s="6" t="s">
        <v>1633</v>
      </c>
      <c r="P153" s="6"/>
      <c r="Q153" s="6"/>
      <c r="R153" s="26">
        <v>93</v>
      </c>
      <c r="S153" s="26"/>
      <c r="T153" s="26"/>
      <c r="U153" s="6"/>
      <c r="V153" s="26" t="s">
        <v>1634</v>
      </c>
    </row>
    <row r="154" spans="1:22" s="4" customFormat="1">
      <c r="A154" s="17">
        <v>545</v>
      </c>
      <c r="B154" s="6" t="s">
        <v>1254</v>
      </c>
      <c r="C154" s="6" t="s">
        <v>1635</v>
      </c>
      <c r="D154" s="6"/>
      <c r="E154" s="61" t="s">
        <v>2374</v>
      </c>
      <c r="F154" s="33" t="s">
        <v>1636</v>
      </c>
      <c r="G154" s="21" t="str">
        <f t="shared" si="7"/>
        <v>1974</v>
      </c>
      <c r="H154" s="22">
        <f t="shared" si="5"/>
        <v>52</v>
      </c>
      <c r="I154" s="23"/>
      <c r="J154" s="20" t="s">
        <v>27</v>
      </c>
      <c r="K154" s="6" t="s">
        <v>1256</v>
      </c>
      <c r="L154" s="25"/>
      <c r="M154" s="25" t="s">
        <v>1637</v>
      </c>
      <c r="N154" s="6"/>
      <c r="O154" s="6" t="s">
        <v>87</v>
      </c>
      <c r="P154" s="6">
        <v>168</v>
      </c>
      <c r="Q154" s="6">
        <v>76</v>
      </c>
      <c r="R154" s="26">
        <v>96</v>
      </c>
      <c r="S154" s="26"/>
      <c r="T154" s="26"/>
      <c r="U154" s="6"/>
      <c r="V154" s="26" t="s">
        <v>604</v>
      </c>
    </row>
    <row r="155" spans="1:22" s="4" customFormat="1" hidden="1">
      <c r="A155" s="20">
        <v>546</v>
      </c>
      <c r="B155" s="6" t="s">
        <v>1254</v>
      </c>
      <c r="C155" s="6" t="s">
        <v>1638</v>
      </c>
      <c r="D155" s="6"/>
      <c r="E155" s="6" t="s">
        <v>40</v>
      </c>
      <c r="F155" s="33" t="s">
        <v>1639</v>
      </c>
      <c r="G155" s="21" t="str">
        <f t="shared" si="7"/>
        <v>1943</v>
      </c>
      <c r="H155" s="22">
        <f t="shared" si="5"/>
        <v>83</v>
      </c>
      <c r="I155" s="23" t="s">
        <v>27</v>
      </c>
      <c r="J155" s="20"/>
      <c r="K155" s="6" t="s">
        <v>1256</v>
      </c>
      <c r="L155" s="25"/>
      <c r="M155" s="25" t="s">
        <v>1640</v>
      </c>
      <c r="N155" s="6"/>
      <c r="O155" s="6" t="s">
        <v>373</v>
      </c>
      <c r="P155" s="6">
        <v>156</v>
      </c>
      <c r="Q155" s="6">
        <v>42</v>
      </c>
      <c r="R155" s="26">
        <v>89</v>
      </c>
      <c r="S155" s="26"/>
      <c r="T155" s="26"/>
      <c r="U155" s="6"/>
      <c r="V155" s="26" t="s">
        <v>1641</v>
      </c>
    </row>
    <row r="156" spans="1:22" s="4" customFormat="1">
      <c r="A156" s="17">
        <v>547</v>
      </c>
      <c r="B156" s="6" t="s">
        <v>1254</v>
      </c>
      <c r="C156" s="6" t="s">
        <v>1642</v>
      </c>
      <c r="D156" s="6"/>
      <c r="E156" s="61" t="s">
        <v>2374</v>
      </c>
      <c r="F156" s="33" t="s">
        <v>1643</v>
      </c>
      <c r="G156" s="21" t="str">
        <f t="shared" si="7"/>
        <v>1968</v>
      </c>
      <c r="H156" s="22">
        <f t="shared" si="5"/>
        <v>58</v>
      </c>
      <c r="I156" s="23" t="s">
        <v>27</v>
      </c>
      <c r="J156" s="20"/>
      <c r="K156" s="6" t="s">
        <v>1256</v>
      </c>
      <c r="L156" s="25"/>
      <c r="M156" s="25" t="s">
        <v>1644</v>
      </c>
      <c r="N156" s="6"/>
      <c r="O156" s="6" t="s">
        <v>1645</v>
      </c>
      <c r="P156" s="6">
        <v>158</v>
      </c>
      <c r="Q156" s="6">
        <v>60</v>
      </c>
      <c r="R156" s="26">
        <v>82</v>
      </c>
      <c r="S156" s="26"/>
      <c r="T156" s="26"/>
      <c r="U156" s="6"/>
      <c r="V156" s="26" t="s">
        <v>1646</v>
      </c>
    </row>
    <row r="157" spans="1:22" s="4" customFormat="1" hidden="1">
      <c r="A157" s="20">
        <v>548</v>
      </c>
      <c r="B157" s="6" t="s">
        <v>1254</v>
      </c>
      <c r="C157" s="6" t="s">
        <v>1647</v>
      </c>
      <c r="D157" s="6"/>
      <c r="E157" s="6" t="s">
        <v>261</v>
      </c>
      <c r="F157" s="33" t="s">
        <v>1648</v>
      </c>
      <c r="G157" s="21" t="str">
        <f t="shared" si="7"/>
        <v>1992</v>
      </c>
      <c r="H157" s="22">
        <f t="shared" si="5"/>
        <v>34</v>
      </c>
      <c r="I157" s="23" t="s">
        <v>27</v>
      </c>
      <c r="J157" s="20"/>
      <c r="K157" s="6" t="s">
        <v>1256</v>
      </c>
      <c r="L157" s="25"/>
      <c r="M157" s="25" t="s">
        <v>1649</v>
      </c>
      <c r="N157" s="6"/>
      <c r="O157" s="6" t="s">
        <v>87</v>
      </c>
      <c r="P157" s="6">
        <v>165</v>
      </c>
      <c r="Q157" s="6">
        <v>63</v>
      </c>
      <c r="R157" s="26">
        <v>105</v>
      </c>
      <c r="S157" s="26"/>
      <c r="T157" s="26"/>
      <c r="U157" s="6"/>
      <c r="V157" s="26" t="s">
        <v>1650</v>
      </c>
    </row>
    <row r="158" spans="1:22" s="4" customFormat="1" hidden="1">
      <c r="A158" s="17">
        <v>549</v>
      </c>
      <c r="B158" s="6" t="s">
        <v>1254</v>
      </c>
      <c r="C158" s="6" t="s">
        <v>1651</v>
      </c>
      <c r="D158" s="6"/>
      <c r="E158" s="6" t="s">
        <v>40</v>
      </c>
      <c r="F158" s="33">
        <v>17992</v>
      </c>
      <c r="G158" s="21">
        <f>YEAR(F158)</f>
        <v>1949</v>
      </c>
      <c r="H158" s="22">
        <f t="shared" si="5"/>
        <v>77</v>
      </c>
      <c r="I158" s="23"/>
      <c r="J158" s="20" t="s">
        <v>27</v>
      </c>
      <c r="K158" s="6" t="s">
        <v>1256</v>
      </c>
      <c r="L158" s="25"/>
      <c r="M158" s="25" t="s">
        <v>1652</v>
      </c>
      <c r="N158" s="6"/>
      <c r="O158" s="6" t="s">
        <v>60</v>
      </c>
      <c r="P158" s="6">
        <v>145</v>
      </c>
      <c r="Q158" s="6">
        <v>33</v>
      </c>
      <c r="R158" s="26">
        <v>96</v>
      </c>
      <c r="S158" s="26"/>
      <c r="T158" s="26"/>
      <c r="U158" s="6"/>
      <c r="V158" s="26" t="s">
        <v>1653</v>
      </c>
    </row>
    <row r="159" spans="1:22" s="4" customFormat="1">
      <c r="A159" s="20">
        <v>550</v>
      </c>
      <c r="B159" s="6" t="s">
        <v>1254</v>
      </c>
      <c r="C159" s="6" t="s">
        <v>1654</v>
      </c>
      <c r="D159" s="6"/>
      <c r="E159" s="61" t="s">
        <v>2374</v>
      </c>
      <c r="F159" s="33">
        <v>39516</v>
      </c>
      <c r="G159" s="21">
        <f>YEAR(F159)</f>
        <v>2008</v>
      </c>
      <c r="H159" s="22">
        <f t="shared" si="5"/>
        <v>18</v>
      </c>
      <c r="I159" s="23" t="s">
        <v>27</v>
      </c>
      <c r="J159" s="20"/>
      <c r="K159" s="6" t="s">
        <v>1256</v>
      </c>
      <c r="L159" s="25"/>
      <c r="M159" s="25" t="s">
        <v>1655</v>
      </c>
      <c r="N159" s="6"/>
      <c r="O159" s="6" t="s">
        <v>1656</v>
      </c>
      <c r="P159" s="6">
        <v>168</v>
      </c>
      <c r="Q159" s="6">
        <v>90</v>
      </c>
      <c r="R159" s="26">
        <v>106</v>
      </c>
      <c r="S159" s="26"/>
      <c r="T159" s="26"/>
      <c r="U159" s="6"/>
      <c r="V159" s="26" t="s">
        <v>1657</v>
      </c>
    </row>
    <row r="160" spans="1:22" s="4" customFormat="1">
      <c r="A160" s="17">
        <v>551</v>
      </c>
      <c r="B160" s="6" t="s">
        <v>1254</v>
      </c>
      <c r="C160" s="6" t="s">
        <v>1658</v>
      </c>
      <c r="D160" s="6"/>
      <c r="E160" s="61" t="s">
        <v>2374</v>
      </c>
      <c r="F160" s="33">
        <v>27310</v>
      </c>
      <c r="G160" s="21">
        <f>YEAR(F160)</f>
        <v>1974</v>
      </c>
      <c r="H160" s="22">
        <f t="shared" si="5"/>
        <v>52</v>
      </c>
      <c r="I160" s="23"/>
      <c r="J160" s="20" t="s">
        <v>27</v>
      </c>
      <c r="K160" s="6" t="s">
        <v>1256</v>
      </c>
      <c r="L160" s="25"/>
      <c r="M160" s="25" t="s">
        <v>1659</v>
      </c>
      <c r="N160" s="6"/>
      <c r="O160" s="6" t="s">
        <v>784</v>
      </c>
      <c r="P160" s="6">
        <v>165</v>
      </c>
      <c r="Q160" s="6">
        <v>56</v>
      </c>
      <c r="R160" s="26">
        <v>72</v>
      </c>
      <c r="S160" s="26"/>
      <c r="T160" s="26"/>
      <c r="U160" s="6"/>
      <c r="V160" s="26" t="s">
        <v>1660</v>
      </c>
    </row>
    <row r="161" spans="1:22" s="4" customFormat="1">
      <c r="A161" s="20">
        <v>552</v>
      </c>
      <c r="B161" s="6" t="s">
        <v>1254</v>
      </c>
      <c r="C161" s="6" t="s">
        <v>1584</v>
      </c>
      <c r="D161" s="6"/>
      <c r="E161" s="61" t="s">
        <v>2374</v>
      </c>
      <c r="F161" s="33" t="s">
        <v>1661</v>
      </c>
      <c r="G161" s="21" t="str">
        <f>RIGHT(F161,4)</f>
        <v>1968</v>
      </c>
      <c r="H161" s="22">
        <f t="shared" si="5"/>
        <v>58</v>
      </c>
      <c r="I161" s="23"/>
      <c r="J161" s="20" t="s">
        <v>27</v>
      </c>
      <c r="K161" s="6" t="s">
        <v>1256</v>
      </c>
      <c r="L161" s="25"/>
      <c r="M161" s="25" t="s">
        <v>1662</v>
      </c>
      <c r="N161" s="6"/>
      <c r="O161" s="6" t="s">
        <v>1663</v>
      </c>
      <c r="P161" s="6">
        <v>150</v>
      </c>
      <c r="Q161" s="6">
        <v>40</v>
      </c>
      <c r="R161" s="26">
        <v>82</v>
      </c>
      <c r="S161" s="26"/>
      <c r="T161" s="26"/>
      <c r="U161" s="6"/>
      <c r="V161" s="26" t="s">
        <v>1664</v>
      </c>
    </row>
    <row r="162" spans="1:22" s="4" customFormat="1">
      <c r="A162" s="17">
        <v>553</v>
      </c>
      <c r="B162" s="6" t="s">
        <v>1254</v>
      </c>
      <c r="C162" s="6" t="s">
        <v>1665</v>
      </c>
      <c r="D162" s="6"/>
      <c r="E162" s="61" t="s">
        <v>2374</v>
      </c>
      <c r="F162" s="33">
        <v>27030</v>
      </c>
      <c r="G162" s="21">
        <f>YEAR(F162)</f>
        <v>1974</v>
      </c>
      <c r="H162" s="22">
        <f t="shared" si="5"/>
        <v>52</v>
      </c>
      <c r="I162" s="23"/>
      <c r="J162" s="20" t="s">
        <v>27</v>
      </c>
      <c r="K162" s="6" t="s">
        <v>1256</v>
      </c>
      <c r="L162" s="25"/>
      <c r="M162" s="25" t="s">
        <v>1666</v>
      </c>
      <c r="N162" s="6"/>
      <c r="O162" s="6" t="s">
        <v>724</v>
      </c>
      <c r="P162" s="6">
        <v>150</v>
      </c>
      <c r="Q162" s="6">
        <v>45</v>
      </c>
      <c r="R162" s="26">
        <v>80</v>
      </c>
      <c r="S162" s="26"/>
      <c r="T162" s="26"/>
      <c r="U162" s="6"/>
      <c r="V162" s="26" t="s">
        <v>1667</v>
      </c>
    </row>
    <row r="163" spans="1:22" s="4" customFormat="1" hidden="1">
      <c r="A163" s="20">
        <v>554</v>
      </c>
      <c r="B163" s="6" t="s">
        <v>1254</v>
      </c>
      <c r="C163" s="6" t="s">
        <v>1665</v>
      </c>
      <c r="D163" s="6"/>
      <c r="E163" s="6" t="s">
        <v>40</v>
      </c>
      <c r="F163" s="33">
        <v>21186</v>
      </c>
      <c r="G163" s="21" t="str">
        <f>RIGHT(F163,4)</f>
        <v>1186</v>
      </c>
      <c r="H163" s="22">
        <f t="shared" si="5"/>
        <v>840</v>
      </c>
      <c r="I163" s="23"/>
      <c r="J163" s="20" t="s">
        <v>27</v>
      </c>
      <c r="K163" s="6" t="s">
        <v>1256</v>
      </c>
      <c r="L163" s="25"/>
      <c r="M163" s="25" t="s">
        <v>1668</v>
      </c>
      <c r="N163" s="6"/>
      <c r="O163" s="6" t="s">
        <v>149</v>
      </c>
      <c r="P163" s="6">
        <v>145</v>
      </c>
      <c r="Q163" s="6">
        <v>45</v>
      </c>
      <c r="R163" s="26">
        <v>100</v>
      </c>
      <c r="S163" s="26"/>
      <c r="T163" s="26"/>
      <c r="U163" s="6"/>
      <c r="V163" s="26" t="s">
        <v>1669</v>
      </c>
    </row>
    <row r="164" spans="1:22" s="4" customFormat="1" hidden="1">
      <c r="A164" s="17">
        <v>555</v>
      </c>
      <c r="B164" s="6" t="s">
        <v>1254</v>
      </c>
      <c r="C164" s="6" t="s">
        <v>1670</v>
      </c>
      <c r="D164" s="6"/>
      <c r="E164" s="6" t="s">
        <v>40</v>
      </c>
      <c r="F164" s="33">
        <v>18052</v>
      </c>
      <c r="G164" s="21">
        <f>YEAR(F164)</f>
        <v>1949</v>
      </c>
      <c r="H164" s="22">
        <f t="shared" si="5"/>
        <v>77</v>
      </c>
      <c r="I164" s="23"/>
      <c r="J164" s="20" t="s">
        <v>27</v>
      </c>
      <c r="K164" s="6" t="s">
        <v>1256</v>
      </c>
      <c r="L164" s="25"/>
      <c r="M164" s="25" t="s">
        <v>1671</v>
      </c>
      <c r="N164" s="6"/>
      <c r="O164" s="6" t="s">
        <v>762</v>
      </c>
      <c r="P164" s="6">
        <v>165</v>
      </c>
      <c r="Q164" s="6">
        <v>57</v>
      </c>
      <c r="R164" s="26">
        <v>87</v>
      </c>
      <c r="S164" s="26"/>
      <c r="T164" s="26"/>
      <c r="U164" s="6"/>
      <c r="V164" s="26" t="s">
        <v>1672</v>
      </c>
    </row>
    <row r="165" spans="1:22" s="4" customFormat="1" hidden="1">
      <c r="A165" s="20">
        <v>556</v>
      </c>
      <c r="B165" s="6" t="s">
        <v>1254</v>
      </c>
      <c r="C165" s="6" t="s">
        <v>1673</v>
      </c>
      <c r="D165" s="6"/>
      <c r="E165" s="6" t="s">
        <v>40</v>
      </c>
      <c r="F165" s="33">
        <v>17542</v>
      </c>
      <c r="G165" s="21">
        <f>YEAR(F165)</f>
        <v>1948</v>
      </c>
      <c r="H165" s="22">
        <f t="shared" si="5"/>
        <v>78</v>
      </c>
      <c r="I165" s="23"/>
      <c r="J165" s="20" t="s">
        <v>27</v>
      </c>
      <c r="K165" s="6" t="s">
        <v>1256</v>
      </c>
      <c r="L165" s="25"/>
      <c r="M165" s="25" t="s">
        <v>1674</v>
      </c>
      <c r="N165" s="6"/>
      <c r="O165" s="6" t="s">
        <v>1600</v>
      </c>
      <c r="P165" s="6"/>
      <c r="Q165" s="6"/>
      <c r="R165" s="26">
        <v>88</v>
      </c>
      <c r="S165" s="26"/>
      <c r="T165" s="26"/>
      <c r="U165" s="6"/>
      <c r="V165" s="26" t="s">
        <v>1675</v>
      </c>
    </row>
    <row r="166" spans="1:22" s="4" customFormat="1" hidden="1">
      <c r="A166" s="17">
        <v>557</v>
      </c>
      <c r="B166" s="6" t="s">
        <v>1254</v>
      </c>
      <c r="C166" s="6" t="s">
        <v>1676</v>
      </c>
      <c r="D166" s="6"/>
      <c r="E166" s="6" t="s">
        <v>40</v>
      </c>
      <c r="F166" s="33">
        <v>21158</v>
      </c>
      <c r="G166" s="21" t="str">
        <f>RIGHT(F166,4)</f>
        <v>1158</v>
      </c>
      <c r="H166" s="22">
        <f t="shared" si="5"/>
        <v>868</v>
      </c>
      <c r="I166" s="23" t="s">
        <v>27</v>
      </c>
      <c r="J166" s="20"/>
      <c r="K166" s="6" t="s">
        <v>1256</v>
      </c>
      <c r="L166" s="25"/>
      <c r="M166" s="25" t="s">
        <v>1677</v>
      </c>
      <c r="N166" s="6"/>
      <c r="O166" s="6" t="s">
        <v>1678</v>
      </c>
      <c r="P166" s="6">
        <v>174</v>
      </c>
      <c r="Q166" s="6">
        <v>55</v>
      </c>
      <c r="R166" s="26">
        <v>87</v>
      </c>
      <c r="S166" s="26"/>
      <c r="T166" s="26"/>
      <c r="U166" s="6"/>
      <c r="V166" s="26" t="s">
        <v>1679</v>
      </c>
    </row>
    <row r="167" spans="1:22" s="4" customFormat="1" hidden="1">
      <c r="A167" s="20">
        <v>558</v>
      </c>
      <c r="B167" s="6" t="s">
        <v>1254</v>
      </c>
      <c r="C167" s="6" t="s">
        <v>1680</v>
      </c>
      <c r="D167" s="6"/>
      <c r="E167" s="6" t="s">
        <v>40</v>
      </c>
      <c r="F167" s="33" t="s">
        <v>1681</v>
      </c>
      <c r="G167" s="21" t="str">
        <f>RIGHT(F167,4)</f>
        <v>1964</v>
      </c>
      <c r="H167" s="22">
        <f t="shared" si="5"/>
        <v>62</v>
      </c>
      <c r="I167" s="23" t="s">
        <v>27</v>
      </c>
      <c r="J167" s="20"/>
      <c r="K167" s="6" t="s">
        <v>1256</v>
      </c>
      <c r="L167" s="25"/>
      <c r="M167" s="25" t="s">
        <v>1682</v>
      </c>
      <c r="N167" s="6"/>
      <c r="O167" s="6" t="s">
        <v>1683</v>
      </c>
      <c r="P167" s="6">
        <v>173</v>
      </c>
      <c r="Q167" s="6">
        <v>67</v>
      </c>
      <c r="R167" s="26">
        <v>89</v>
      </c>
      <c r="S167" s="26"/>
      <c r="T167" s="26"/>
      <c r="U167" s="6"/>
      <c r="V167" s="26" t="s">
        <v>1684</v>
      </c>
    </row>
    <row r="168" spans="1:22" s="4" customFormat="1" hidden="1">
      <c r="A168" s="17">
        <v>559</v>
      </c>
      <c r="B168" s="6" t="s">
        <v>1254</v>
      </c>
      <c r="C168" s="6" t="s">
        <v>1685</v>
      </c>
      <c r="D168" s="6"/>
      <c r="E168" s="6" t="s">
        <v>40</v>
      </c>
      <c r="F168" s="33">
        <v>21096</v>
      </c>
      <c r="G168" s="21" t="str">
        <f>RIGHT(F168,4)</f>
        <v>1096</v>
      </c>
      <c r="H168" s="22">
        <f t="shared" si="5"/>
        <v>930</v>
      </c>
      <c r="I168" s="23"/>
      <c r="J168" s="20" t="s">
        <v>27</v>
      </c>
      <c r="K168" s="6" t="s">
        <v>1256</v>
      </c>
      <c r="L168" s="25"/>
      <c r="M168" s="25" t="s">
        <v>1686</v>
      </c>
      <c r="N168" s="6"/>
      <c r="O168" s="6" t="s">
        <v>570</v>
      </c>
      <c r="P168" s="6">
        <v>157</v>
      </c>
      <c r="Q168" s="6">
        <v>56</v>
      </c>
      <c r="R168" s="26">
        <v>83</v>
      </c>
      <c r="S168" s="26"/>
      <c r="T168" s="26"/>
      <c r="U168" s="6"/>
      <c r="V168" s="26" t="s">
        <v>1687</v>
      </c>
    </row>
    <row r="169" spans="1:22" s="4" customFormat="1" hidden="1">
      <c r="A169" s="20">
        <v>560</v>
      </c>
      <c r="B169" s="6" t="s">
        <v>1254</v>
      </c>
      <c r="C169" s="6" t="s">
        <v>1688</v>
      </c>
      <c r="D169" s="6"/>
      <c r="E169" s="6" t="s">
        <v>40</v>
      </c>
      <c r="F169" s="33" t="s">
        <v>1135</v>
      </c>
      <c r="G169" s="21" t="str">
        <f>RIGHT(F169,4)</f>
        <v>1950</v>
      </c>
      <c r="H169" s="22">
        <f t="shared" si="5"/>
        <v>76</v>
      </c>
      <c r="I169" s="23"/>
      <c r="J169" s="20" t="s">
        <v>27</v>
      </c>
      <c r="K169" s="6" t="s">
        <v>1256</v>
      </c>
      <c r="L169" s="25"/>
      <c r="M169" s="25" t="s">
        <v>1689</v>
      </c>
      <c r="N169" s="6"/>
      <c r="O169" s="6" t="s">
        <v>60</v>
      </c>
      <c r="P169" s="6">
        <v>160</v>
      </c>
      <c r="Q169" s="6">
        <v>55</v>
      </c>
      <c r="R169" s="26">
        <v>68</v>
      </c>
      <c r="S169" s="26"/>
      <c r="T169" s="26"/>
      <c r="U169" s="6"/>
      <c r="V169" s="26" t="s">
        <v>1690</v>
      </c>
    </row>
    <row r="170" spans="1:22" s="4" customFormat="1" hidden="1">
      <c r="A170" s="17">
        <v>561</v>
      </c>
      <c r="B170" s="6" t="s">
        <v>1254</v>
      </c>
      <c r="C170" s="6" t="s">
        <v>1691</v>
      </c>
      <c r="D170" s="6"/>
      <c r="E170" s="6" t="s">
        <v>40</v>
      </c>
      <c r="F170" s="33" t="s">
        <v>1692</v>
      </c>
      <c r="G170" s="21" t="str">
        <f>RIGHT(F170,4)</f>
        <v>1964</v>
      </c>
      <c r="H170" s="22">
        <f t="shared" si="5"/>
        <v>62</v>
      </c>
      <c r="I170" s="23"/>
      <c r="J170" s="20" t="s">
        <v>27</v>
      </c>
      <c r="K170" s="6" t="s">
        <v>1256</v>
      </c>
      <c r="L170" s="25"/>
      <c r="M170" s="25" t="s">
        <v>1693</v>
      </c>
      <c r="N170" s="6"/>
      <c r="O170" s="6" t="s">
        <v>60</v>
      </c>
      <c r="P170" s="6">
        <v>156</v>
      </c>
      <c r="Q170" s="6">
        <v>52</v>
      </c>
      <c r="R170" s="26">
        <v>70</v>
      </c>
      <c r="S170" s="26"/>
      <c r="T170" s="26"/>
      <c r="U170" s="6"/>
      <c r="V170" s="26" t="s">
        <v>1694</v>
      </c>
    </row>
    <row r="171" spans="1:22" s="4" customFormat="1" hidden="1">
      <c r="A171" s="20">
        <v>562</v>
      </c>
      <c r="B171" s="6" t="s">
        <v>1254</v>
      </c>
      <c r="C171" s="6" t="s">
        <v>1695</v>
      </c>
      <c r="D171" s="6"/>
      <c r="E171" s="6" t="s">
        <v>40</v>
      </c>
      <c r="F171" s="33">
        <v>22193</v>
      </c>
      <c r="G171" s="21">
        <f>YEAR(F171)</f>
        <v>1960</v>
      </c>
      <c r="H171" s="22">
        <f t="shared" si="5"/>
        <v>66</v>
      </c>
      <c r="I171" s="23"/>
      <c r="J171" s="20" t="s">
        <v>27</v>
      </c>
      <c r="K171" s="6" t="s">
        <v>1256</v>
      </c>
      <c r="L171" s="25"/>
      <c r="M171" s="25" t="s">
        <v>1696</v>
      </c>
      <c r="N171" s="6"/>
      <c r="O171" s="6" t="s">
        <v>34</v>
      </c>
      <c r="P171" s="6">
        <v>156</v>
      </c>
      <c r="Q171" s="6">
        <v>55</v>
      </c>
      <c r="R171" s="26">
        <v>80</v>
      </c>
      <c r="S171" s="26"/>
      <c r="T171" s="26"/>
      <c r="U171" s="6"/>
      <c r="V171" s="26" t="s">
        <v>1697</v>
      </c>
    </row>
    <row r="172" spans="1:22" s="4" customFormat="1" hidden="1">
      <c r="A172" s="17">
        <v>563</v>
      </c>
      <c r="B172" s="6" t="s">
        <v>1254</v>
      </c>
      <c r="C172" s="6" t="s">
        <v>1698</v>
      </c>
      <c r="D172" s="6"/>
      <c r="E172" s="6" t="s">
        <v>40</v>
      </c>
      <c r="F172" s="33" t="s">
        <v>1699</v>
      </c>
      <c r="G172" s="21" t="str">
        <f>RIGHT(F172,4)</f>
        <v>1965</v>
      </c>
      <c r="H172" s="22">
        <f t="shared" si="5"/>
        <v>61</v>
      </c>
      <c r="I172" s="23"/>
      <c r="J172" s="20" t="s">
        <v>27</v>
      </c>
      <c r="K172" s="6" t="s">
        <v>1256</v>
      </c>
      <c r="L172" s="25"/>
      <c r="M172" s="25" t="s">
        <v>1700</v>
      </c>
      <c r="N172" s="6"/>
      <c r="O172" s="6" t="s">
        <v>313</v>
      </c>
      <c r="P172" s="6">
        <v>150</v>
      </c>
      <c r="Q172" s="6">
        <v>47</v>
      </c>
      <c r="R172" s="26">
        <v>100</v>
      </c>
      <c r="S172" s="26"/>
      <c r="T172" s="26"/>
      <c r="U172" s="6"/>
      <c r="V172" s="26" t="s">
        <v>1701</v>
      </c>
    </row>
    <row r="173" spans="1:22" s="4" customFormat="1">
      <c r="A173" s="20">
        <v>564</v>
      </c>
      <c r="B173" s="6" t="s">
        <v>1254</v>
      </c>
      <c r="C173" s="6" t="s">
        <v>1702</v>
      </c>
      <c r="D173" s="6"/>
      <c r="E173" s="61" t="s">
        <v>2374</v>
      </c>
      <c r="F173" s="33">
        <v>29009</v>
      </c>
      <c r="G173" s="21">
        <f>YEAR(F173)</f>
        <v>1979</v>
      </c>
      <c r="H173" s="22">
        <f t="shared" si="5"/>
        <v>47</v>
      </c>
      <c r="I173" s="23" t="s">
        <v>27</v>
      </c>
      <c r="J173" s="20"/>
      <c r="K173" s="6" t="s">
        <v>1256</v>
      </c>
      <c r="L173" s="25"/>
      <c r="M173" s="25" t="s">
        <v>1703</v>
      </c>
      <c r="N173" s="6"/>
      <c r="O173" s="6" t="s">
        <v>1704</v>
      </c>
      <c r="P173" s="6">
        <v>162</v>
      </c>
      <c r="Q173" s="6">
        <v>60</v>
      </c>
      <c r="R173" s="26">
        <v>72</v>
      </c>
      <c r="S173" s="26"/>
      <c r="T173" s="26"/>
      <c r="U173" s="6"/>
      <c r="V173" s="26" t="s">
        <v>1705</v>
      </c>
    </row>
    <row r="174" spans="1:22" s="4" customFormat="1" hidden="1">
      <c r="A174" s="17">
        <v>565</v>
      </c>
      <c r="B174" s="6" t="s">
        <v>1254</v>
      </c>
      <c r="C174" s="6" t="s">
        <v>601</v>
      </c>
      <c r="D174" s="6"/>
      <c r="E174" s="6" t="s">
        <v>261</v>
      </c>
      <c r="F174" s="33">
        <v>25569</v>
      </c>
      <c r="G174" s="21">
        <f>YEAR(F174)</f>
        <v>1970</v>
      </c>
      <c r="H174" s="22">
        <f t="shared" si="5"/>
        <v>56</v>
      </c>
      <c r="I174" s="23"/>
      <c r="J174" s="20" t="s">
        <v>27</v>
      </c>
      <c r="K174" s="6" t="s">
        <v>1256</v>
      </c>
      <c r="L174" s="25"/>
      <c r="M174" s="25" t="s">
        <v>1706</v>
      </c>
      <c r="N174" s="6"/>
      <c r="O174" s="6" t="s">
        <v>288</v>
      </c>
      <c r="P174" s="6">
        <v>153</v>
      </c>
      <c r="Q174" s="6">
        <v>58</v>
      </c>
      <c r="R174" s="26">
        <v>77</v>
      </c>
      <c r="S174" s="26"/>
      <c r="T174" s="26"/>
      <c r="U174" s="6"/>
      <c r="V174" s="26" t="s">
        <v>1707</v>
      </c>
    </row>
    <row r="175" spans="1:22" s="4" customFormat="1" hidden="1">
      <c r="A175" s="20">
        <v>566</v>
      </c>
      <c r="B175" s="6" t="s">
        <v>1254</v>
      </c>
      <c r="C175" s="6" t="s">
        <v>1708</v>
      </c>
      <c r="D175" s="6"/>
      <c r="E175" s="6" t="s">
        <v>261</v>
      </c>
      <c r="F175" s="33">
        <v>17538</v>
      </c>
      <c r="G175" s="21">
        <f>YEAR(F175)</f>
        <v>1948</v>
      </c>
      <c r="H175" s="22">
        <f t="shared" si="5"/>
        <v>78</v>
      </c>
      <c r="I175" s="23"/>
      <c r="J175" s="20" t="s">
        <v>27</v>
      </c>
      <c r="K175" s="6" t="s">
        <v>1256</v>
      </c>
      <c r="L175" s="25"/>
      <c r="M175" s="25" t="s">
        <v>1709</v>
      </c>
      <c r="N175" s="6"/>
      <c r="O175" s="6" t="s">
        <v>38</v>
      </c>
      <c r="P175" s="6">
        <v>160</v>
      </c>
      <c r="Q175" s="6">
        <v>46</v>
      </c>
      <c r="R175" s="26">
        <v>80</v>
      </c>
      <c r="S175" s="26"/>
      <c r="T175" s="26"/>
      <c r="U175" s="6"/>
      <c r="V175" s="26" t="s">
        <v>1710</v>
      </c>
    </row>
    <row r="176" spans="1:22" s="4" customFormat="1" hidden="1">
      <c r="A176" s="17">
        <v>567</v>
      </c>
      <c r="B176" s="6" t="s">
        <v>1254</v>
      </c>
      <c r="C176" s="6" t="s">
        <v>1711</v>
      </c>
      <c r="D176" s="6"/>
      <c r="E176" s="6" t="s">
        <v>609</v>
      </c>
      <c r="F176" s="33" t="s">
        <v>1712</v>
      </c>
      <c r="G176" s="21" t="str">
        <f>RIGHT(F176,4)</f>
        <v>1997</v>
      </c>
      <c r="H176" s="22">
        <f t="shared" si="5"/>
        <v>29</v>
      </c>
      <c r="I176" s="23" t="s">
        <v>27</v>
      </c>
      <c r="J176" s="20"/>
      <c r="K176" s="6" t="s">
        <v>1256</v>
      </c>
      <c r="L176" s="25"/>
      <c r="M176" s="25" t="s">
        <v>1713</v>
      </c>
      <c r="N176" s="6"/>
      <c r="O176" s="6" t="s">
        <v>34</v>
      </c>
      <c r="P176" s="6">
        <v>150</v>
      </c>
      <c r="Q176" s="6">
        <v>75</v>
      </c>
      <c r="R176" s="26">
        <v>72</v>
      </c>
      <c r="S176" s="26"/>
      <c r="T176" s="26"/>
      <c r="U176" s="6"/>
      <c r="V176" s="26" t="s">
        <v>1714</v>
      </c>
    </row>
    <row r="177" spans="1:22" s="4" customFormat="1">
      <c r="A177" s="20">
        <v>568</v>
      </c>
      <c r="B177" s="6" t="s">
        <v>1254</v>
      </c>
      <c r="C177" s="6" t="s">
        <v>1715</v>
      </c>
      <c r="D177" s="6"/>
      <c r="E177" s="61" t="s">
        <v>2374</v>
      </c>
      <c r="F177" s="33">
        <v>31049</v>
      </c>
      <c r="G177" s="21">
        <f t="shared" ref="G177:G180" si="8">YEAR(F177)</f>
        <v>1985</v>
      </c>
      <c r="H177" s="22">
        <f t="shared" si="5"/>
        <v>41</v>
      </c>
      <c r="I177" s="23"/>
      <c r="J177" s="20" t="s">
        <v>27</v>
      </c>
      <c r="K177" s="6" t="s">
        <v>1256</v>
      </c>
      <c r="L177" s="25"/>
      <c r="M177" s="25" t="s">
        <v>1716</v>
      </c>
      <c r="N177" s="6"/>
      <c r="O177" s="6" t="s">
        <v>113</v>
      </c>
      <c r="P177" s="6">
        <v>167</v>
      </c>
      <c r="Q177" s="6">
        <v>50</v>
      </c>
      <c r="R177" s="26">
        <v>71</v>
      </c>
      <c r="S177" s="26"/>
      <c r="T177" s="26"/>
      <c r="U177" s="6"/>
      <c r="V177" s="26" t="s">
        <v>1717</v>
      </c>
    </row>
    <row r="178" spans="1:22" s="4" customFormat="1" hidden="1">
      <c r="A178" s="17">
        <v>569</v>
      </c>
      <c r="B178" s="6" t="s">
        <v>1254</v>
      </c>
      <c r="C178" s="6" t="s">
        <v>1718</v>
      </c>
      <c r="D178" s="6"/>
      <c r="E178" s="6" t="s">
        <v>40</v>
      </c>
      <c r="F178" s="33">
        <v>21008</v>
      </c>
      <c r="G178" s="21">
        <f t="shared" si="8"/>
        <v>1957</v>
      </c>
      <c r="H178" s="22">
        <f t="shared" si="5"/>
        <v>69</v>
      </c>
      <c r="I178" s="23" t="s">
        <v>27</v>
      </c>
      <c r="J178" s="20"/>
      <c r="K178" s="6" t="s">
        <v>1256</v>
      </c>
      <c r="L178" s="25"/>
      <c r="M178" s="25" t="s">
        <v>1719</v>
      </c>
      <c r="N178" s="6"/>
      <c r="O178" s="6" t="s">
        <v>1720</v>
      </c>
      <c r="P178" s="6">
        <v>168</v>
      </c>
      <c r="Q178" s="6">
        <v>52</v>
      </c>
      <c r="R178" s="26">
        <v>97</v>
      </c>
      <c r="S178" s="26"/>
      <c r="T178" s="26"/>
      <c r="U178" s="6"/>
      <c r="V178" s="26" t="s">
        <v>1721</v>
      </c>
    </row>
    <row r="179" spans="1:22" s="4" customFormat="1" hidden="1">
      <c r="A179" s="20">
        <v>570</v>
      </c>
      <c r="B179" s="6" t="s">
        <v>1254</v>
      </c>
      <c r="C179" s="6" t="s">
        <v>1722</v>
      </c>
      <c r="D179" s="6"/>
      <c r="E179" s="6" t="s">
        <v>40</v>
      </c>
      <c r="F179" s="33">
        <v>21956</v>
      </c>
      <c r="G179" s="21">
        <f t="shared" si="8"/>
        <v>1960</v>
      </c>
      <c r="H179" s="22">
        <f t="shared" si="5"/>
        <v>66</v>
      </c>
      <c r="I179" s="23"/>
      <c r="J179" s="20" t="s">
        <v>27</v>
      </c>
      <c r="K179" s="6" t="s">
        <v>1256</v>
      </c>
      <c r="L179" s="25"/>
      <c r="M179" s="25" t="s">
        <v>1723</v>
      </c>
      <c r="N179" s="6"/>
      <c r="O179" s="6" t="s">
        <v>113</v>
      </c>
      <c r="P179" s="6">
        <v>140</v>
      </c>
      <c r="Q179" s="6">
        <v>38</v>
      </c>
      <c r="R179" s="26">
        <v>92</v>
      </c>
      <c r="S179" s="26"/>
      <c r="T179" s="26"/>
      <c r="U179" s="6"/>
      <c r="V179" s="26" t="s">
        <v>1724</v>
      </c>
    </row>
    <row r="180" spans="1:22" s="4" customFormat="1">
      <c r="A180" s="17">
        <v>571</v>
      </c>
      <c r="B180" s="6" t="s">
        <v>1254</v>
      </c>
      <c r="C180" s="6" t="s">
        <v>1725</v>
      </c>
      <c r="D180" s="6"/>
      <c r="E180" s="61" t="s">
        <v>2374</v>
      </c>
      <c r="F180" s="33">
        <v>27030</v>
      </c>
      <c r="G180" s="21">
        <f t="shared" si="8"/>
        <v>1974</v>
      </c>
      <c r="H180" s="22">
        <f t="shared" si="5"/>
        <v>52</v>
      </c>
      <c r="I180" s="23" t="s">
        <v>27</v>
      </c>
      <c r="J180" s="20"/>
      <c r="K180" s="6" t="s">
        <v>1256</v>
      </c>
      <c r="L180" s="25"/>
      <c r="M180" s="25" t="s">
        <v>1726</v>
      </c>
      <c r="N180" s="6"/>
      <c r="O180" s="6" t="s">
        <v>34</v>
      </c>
      <c r="P180" s="6">
        <v>160</v>
      </c>
      <c r="Q180" s="6">
        <v>56</v>
      </c>
      <c r="R180" s="26">
        <v>80</v>
      </c>
      <c r="S180" s="26"/>
      <c r="T180" s="26"/>
      <c r="U180" s="6"/>
      <c r="V180" s="26" t="s">
        <v>1727</v>
      </c>
    </row>
    <row r="181" spans="1:22" s="4" customFormat="1">
      <c r="A181" s="20">
        <v>572</v>
      </c>
      <c r="B181" s="6" t="s">
        <v>1254</v>
      </c>
      <c r="C181" s="6" t="s">
        <v>1728</v>
      </c>
      <c r="D181" s="6"/>
      <c r="E181" s="61" t="s">
        <v>2374</v>
      </c>
      <c r="F181" s="33" t="s">
        <v>1729</v>
      </c>
      <c r="G181" s="21" t="str">
        <f>RIGHT(F181,4)</f>
        <v>1973</v>
      </c>
      <c r="H181" s="22">
        <f t="shared" si="5"/>
        <v>53</v>
      </c>
      <c r="I181" s="23" t="s">
        <v>27</v>
      </c>
      <c r="J181" s="20"/>
      <c r="K181" s="6" t="s">
        <v>1256</v>
      </c>
      <c r="L181" s="25"/>
      <c r="M181" s="5" t="s">
        <v>1730</v>
      </c>
      <c r="N181" s="6"/>
      <c r="O181" s="6" t="s">
        <v>1109</v>
      </c>
      <c r="P181" s="6">
        <v>167</v>
      </c>
      <c r="Q181" s="6">
        <v>61</v>
      </c>
      <c r="R181" s="26">
        <v>80</v>
      </c>
      <c r="S181" s="26"/>
      <c r="T181" s="26"/>
      <c r="U181" s="6"/>
      <c r="V181" s="26" t="s">
        <v>1731</v>
      </c>
    </row>
    <row r="182" spans="1:22" s="4" customFormat="1" hidden="1">
      <c r="A182" s="17">
        <v>573</v>
      </c>
      <c r="B182" s="6" t="s">
        <v>1254</v>
      </c>
      <c r="C182" s="6" t="s">
        <v>1732</v>
      </c>
      <c r="D182" s="6"/>
      <c r="E182" s="6" t="s">
        <v>40</v>
      </c>
      <c r="F182" s="33">
        <v>12095</v>
      </c>
      <c r="G182" s="21">
        <f>YEAR(F182)</f>
        <v>1933</v>
      </c>
      <c r="H182" s="22">
        <f t="shared" si="5"/>
        <v>93</v>
      </c>
      <c r="I182" s="23" t="s">
        <v>27</v>
      </c>
      <c r="J182" s="20"/>
      <c r="K182" s="6" t="s">
        <v>1256</v>
      </c>
      <c r="L182" s="25"/>
      <c r="M182" s="25" t="s">
        <v>1733</v>
      </c>
      <c r="N182" s="6"/>
      <c r="O182" s="6" t="s">
        <v>1734</v>
      </c>
      <c r="P182" s="6">
        <v>158</v>
      </c>
      <c r="Q182" s="6">
        <v>48</v>
      </c>
      <c r="R182" s="26">
        <v>80</v>
      </c>
      <c r="S182" s="26"/>
      <c r="T182" s="26"/>
      <c r="U182" s="6"/>
      <c r="V182" s="26" t="s">
        <v>1735</v>
      </c>
    </row>
    <row r="183" spans="1:22" s="4" customFormat="1">
      <c r="A183" s="20">
        <v>574</v>
      </c>
      <c r="B183" s="6" t="s">
        <v>1254</v>
      </c>
      <c r="C183" s="6" t="s">
        <v>1736</v>
      </c>
      <c r="D183" s="6"/>
      <c r="E183" s="61" t="s">
        <v>2374</v>
      </c>
      <c r="F183" s="33">
        <v>33026</v>
      </c>
      <c r="G183" s="21">
        <f>YEAR(F183)</f>
        <v>1990</v>
      </c>
      <c r="H183" s="22">
        <f t="shared" si="5"/>
        <v>36</v>
      </c>
      <c r="I183" s="23" t="s">
        <v>27</v>
      </c>
      <c r="J183" s="20"/>
      <c r="K183" s="6" t="s">
        <v>1256</v>
      </c>
      <c r="L183" s="25"/>
      <c r="M183" s="25" t="s">
        <v>1737</v>
      </c>
      <c r="N183" s="6"/>
      <c r="O183" s="6" t="s">
        <v>113</v>
      </c>
      <c r="P183" s="6">
        <v>172</v>
      </c>
      <c r="Q183" s="6">
        <v>59</v>
      </c>
      <c r="R183" s="26">
        <v>90</v>
      </c>
      <c r="S183" s="26"/>
      <c r="T183" s="26"/>
      <c r="U183" s="6"/>
      <c r="V183" s="26" t="s">
        <v>1738</v>
      </c>
    </row>
    <row r="184" spans="1:22" s="4" customFormat="1" hidden="1">
      <c r="A184" s="17">
        <v>575</v>
      </c>
      <c r="B184" s="6" t="s">
        <v>1254</v>
      </c>
      <c r="C184" s="6" t="s">
        <v>1739</v>
      </c>
      <c r="D184" s="6"/>
      <c r="E184" s="6" t="s">
        <v>40</v>
      </c>
      <c r="F184" s="33">
        <v>16408</v>
      </c>
      <c r="G184" s="21">
        <f>YEAR(F184)</f>
        <v>1944</v>
      </c>
      <c r="H184" s="22">
        <f t="shared" si="5"/>
        <v>82</v>
      </c>
      <c r="I184" s="23" t="s">
        <v>27</v>
      </c>
      <c r="J184" s="20"/>
      <c r="K184" s="6" t="s">
        <v>1256</v>
      </c>
      <c r="L184" s="25"/>
      <c r="M184" s="25" t="s">
        <v>1740</v>
      </c>
      <c r="N184" s="6"/>
      <c r="O184" s="6" t="s">
        <v>687</v>
      </c>
      <c r="P184" s="6">
        <v>165</v>
      </c>
      <c r="Q184" s="6">
        <v>68</v>
      </c>
      <c r="R184" s="26">
        <v>96</v>
      </c>
      <c r="S184" s="26"/>
      <c r="T184" s="26"/>
      <c r="U184" s="6"/>
      <c r="V184" s="26" t="s">
        <v>1741</v>
      </c>
    </row>
    <row r="185" spans="1:22" s="4" customFormat="1" hidden="1">
      <c r="A185" s="20">
        <v>576</v>
      </c>
      <c r="B185" s="6" t="s">
        <v>1254</v>
      </c>
      <c r="C185" s="6" t="s">
        <v>1742</v>
      </c>
      <c r="D185" s="6"/>
      <c r="E185" s="6" t="s">
        <v>40</v>
      </c>
      <c r="F185" s="33" t="s">
        <v>1743</v>
      </c>
      <c r="G185" s="21" t="str">
        <f>RIGHT(F185,4)</f>
        <v>1950</v>
      </c>
      <c r="H185" s="22">
        <f t="shared" si="5"/>
        <v>76</v>
      </c>
      <c r="I185" s="23"/>
      <c r="J185" s="20" t="s">
        <v>27</v>
      </c>
      <c r="K185" s="6" t="s">
        <v>1256</v>
      </c>
      <c r="L185" s="25"/>
      <c r="M185" s="25" t="s">
        <v>1744</v>
      </c>
      <c r="N185" s="6"/>
      <c r="O185" s="6" t="s">
        <v>333</v>
      </c>
      <c r="P185" s="6">
        <v>158</v>
      </c>
      <c r="Q185" s="6">
        <v>58</v>
      </c>
      <c r="R185" s="26">
        <v>88</v>
      </c>
      <c r="S185" s="26"/>
      <c r="T185" s="26"/>
      <c r="U185" s="6"/>
      <c r="V185" s="26" t="s">
        <v>1745</v>
      </c>
    </row>
    <row r="186" spans="1:22" s="4" customFormat="1" hidden="1">
      <c r="A186" s="17">
        <v>577</v>
      </c>
      <c r="B186" s="6" t="s">
        <v>1254</v>
      </c>
      <c r="C186" s="6" t="s">
        <v>1746</v>
      </c>
      <c r="D186" s="6"/>
      <c r="E186" s="6" t="s">
        <v>40</v>
      </c>
      <c r="F186" s="33">
        <v>13798</v>
      </c>
      <c r="G186" s="21">
        <f>YEAR(F186)</f>
        <v>1937</v>
      </c>
      <c r="H186" s="22">
        <f t="shared" si="5"/>
        <v>89</v>
      </c>
      <c r="I186" s="23" t="s">
        <v>27</v>
      </c>
      <c r="J186" s="20"/>
      <c r="K186" s="6" t="s">
        <v>1256</v>
      </c>
      <c r="L186" s="25"/>
      <c r="M186" s="25" t="s">
        <v>1747</v>
      </c>
      <c r="N186" s="6"/>
      <c r="O186" s="6" t="s">
        <v>288</v>
      </c>
      <c r="P186" s="6">
        <v>160</v>
      </c>
      <c r="Q186" s="6">
        <v>48</v>
      </c>
      <c r="R186" s="26">
        <v>93</v>
      </c>
      <c r="S186" s="26"/>
      <c r="T186" s="26"/>
      <c r="U186" s="6"/>
      <c r="V186" s="26" t="s">
        <v>1748</v>
      </c>
    </row>
    <row r="187" spans="1:22" s="4" customFormat="1" hidden="1">
      <c r="A187" s="20">
        <v>578</v>
      </c>
      <c r="B187" s="6" t="s">
        <v>1254</v>
      </c>
      <c r="C187" s="6" t="s">
        <v>1749</v>
      </c>
      <c r="D187" s="6"/>
      <c r="E187" s="6" t="s">
        <v>40</v>
      </c>
      <c r="F187" s="33">
        <v>11974</v>
      </c>
      <c r="G187" s="21" t="str">
        <f>RIGHT(F187,4)</f>
        <v>1974</v>
      </c>
      <c r="H187" s="22">
        <f t="shared" si="5"/>
        <v>52</v>
      </c>
      <c r="I187" s="23" t="s">
        <v>27</v>
      </c>
      <c r="J187" s="20"/>
      <c r="K187" s="6" t="s">
        <v>1256</v>
      </c>
      <c r="L187" s="25"/>
      <c r="M187" s="25" t="s">
        <v>1750</v>
      </c>
      <c r="N187" s="6"/>
      <c r="O187" s="6" t="s">
        <v>275</v>
      </c>
      <c r="P187" s="6">
        <v>162</v>
      </c>
      <c r="Q187" s="6">
        <v>48</v>
      </c>
      <c r="R187" s="26">
        <v>90</v>
      </c>
      <c r="S187" s="26"/>
      <c r="T187" s="26"/>
      <c r="U187" s="6"/>
      <c r="V187" s="26" t="s">
        <v>1751</v>
      </c>
    </row>
    <row r="188" spans="1:22" s="4" customFormat="1" hidden="1">
      <c r="A188" s="17">
        <v>579</v>
      </c>
      <c r="B188" s="6" t="s">
        <v>1254</v>
      </c>
      <c r="C188" s="6" t="s">
        <v>1752</v>
      </c>
      <c r="D188" s="6"/>
      <c r="E188" s="62" t="s">
        <v>2376</v>
      </c>
      <c r="F188" s="33">
        <v>40313</v>
      </c>
      <c r="G188" s="21">
        <f t="shared" ref="G188:G200" si="9">YEAR(F188)</f>
        <v>2010</v>
      </c>
      <c r="H188" s="22">
        <f t="shared" si="5"/>
        <v>16</v>
      </c>
      <c r="I188" s="23" t="s">
        <v>27</v>
      </c>
      <c r="J188" s="20"/>
      <c r="K188" s="6" t="s">
        <v>1256</v>
      </c>
      <c r="L188" s="25"/>
      <c r="M188" s="25" t="s">
        <v>1753</v>
      </c>
      <c r="N188" s="6"/>
      <c r="O188" s="6"/>
      <c r="P188" s="6"/>
      <c r="Q188" s="6"/>
      <c r="R188" s="26"/>
      <c r="S188" s="26"/>
      <c r="T188" s="26"/>
      <c r="U188" s="6"/>
      <c r="V188" s="26" t="s">
        <v>1754</v>
      </c>
    </row>
    <row r="189" spans="1:22" s="4" customFormat="1" hidden="1">
      <c r="A189" s="20">
        <v>580</v>
      </c>
      <c r="B189" s="6" t="s">
        <v>1254</v>
      </c>
      <c r="C189" s="6" t="s">
        <v>1755</v>
      </c>
      <c r="D189" s="6"/>
      <c r="E189" s="6" t="s">
        <v>40</v>
      </c>
      <c r="F189" s="33">
        <v>16435</v>
      </c>
      <c r="G189" s="21">
        <f t="shared" si="9"/>
        <v>1944</v>
      </c>
      <c r="H189" s="22">
        <f t="shared" si="5"/>
        <v>82</v>
      </c>
      <c r="I189" s="23" t="s">
        <v>27</v>
      </c>
      <c r="J189" s="20"/>
      <c r="K189" s="6"/>
      <c r="L189" s="25"/>
      <c r="M189" s="25" t="s">
        <v>1756</v>
      </c>
      <c r="N189" s="6"/>
      <c r="O189" s="6" t="s">
        <v>273</v>
      </c>
      <c r="P189" s="6">
        <v>160</v>
      </c>
      <c r="Q189" s="6">
        <v>57</v>
      </c>
      <c r="R189" s="26">
        <v>84</v>
      </c>
      <c r="S189" s="26"/>
      <c r="T189" s="26"/>
      <c r="U189" s="6"/>
      <c r="V189" s="26" t="s">
        <v>1757</v>
      </c>
    </row>
    <row r="190" spans="1:22" s="4" customFormat="1" hidden="1">
      <c r="A190" s="17">
        <v>581</v>
      </c>
      <c r="B190" s="6" t="s">
        <v>1254</v>
      </c>
      <c r="C190" s="6" t="s">
        <v>1758</v>
      </c>
      <c r="D190" s="6"/>
      <c r="E190" s="63" t="s">
        <v>2376</v>
      </c>
      <c r="F190" s="33">
        <v>40816</v>
      </c>
      <c r="G190" s="21">
        <f t="shared" si="9"/>
        <v>2011</v>
      </c>
      <c r="H190" s="22">
        <f t="shared" si="5"/>
        <v>15</v>
      </c>
      <c r="I190" s="23"/>
      <c r="J190" s="20" t="s">
        <v>27</v>
      </c>
      <c r="K190" s="6" t="s">
        <v>1256</v>
      </c>
      <c r="L190" s="25"/>
      <c r="M190" s="25" t="s">
        <v>1759</v>
      </c>
      <c r="N190" s="6"/>
      <c r="O190" s="6" t="s">
        <v>34</v>
      </c>
      <c r="P190" s="6">
        <v>159</v>
      </c>
      <c r="Q190" s="6">
        <v>55</v>
      </c>
      <c r="R190" s="26">
        <v>90</v>
      </c>
      <c r="S190" s="26"/>
      <c r="T190" s="26"/>
      <c r="U190" s="6"/>
      <c r="V190" s="26" t="s">
        <v>1760</v>
      </c>
    </row>
    <row r="191" spans="1:22" s="4" customFormat="1" hidden="1">
      <c r="A191" s="20">
        <v>582</v>
      </c>
      <c r="B191" s="6" t="s">
        <v>1254</v>
      </c>
      <c r="C191" s="6" t="s">
        <v>1761</v>
      </c>
      <c r="D191" s="6"/>
      <c r="E191" s="61" t="s">
        <v>2377</v>
      </c>
      <c r="F191" s="33">
        <v>45343</v>
      </c>
      <c r="G191" s="21">
        <f t="shared" si="9"/>
        <v>2024</v>
      </c>
      <c r="H191" s="22">
        <f t="shared" si="5"/>
        <v>2</v>
      </c>
      <c r="I191" s="23"/>
      <c r="J191" s="20" t="s">
        <v>27</v>
      </c>
      <c r="K191" s="6"/>
      <c r="L191" s="25"/>
      <c r="M191" s="25" t="s">
        <v>1762</v>
      </c>
      <c r="N191" s="6"/>
      <c r="O191" s="6"/>
      <c r="P191" s="6"/>
      <c r="Q191" s="6"/>
      <c r="R191" s="26"/>
      <c r="S191" s="26"/>
      <c r="T191" s="26"/>
      <c r="U191" s="6"/>
      <c r="V191" s="26" t="s">
        <v>604</v>
      </c>
    </row>
    <row r="192" spans="1:22" s="4" customFormat="1" hidden="1">
      <c r="A192" s="17">
        <v>583</v>
      </c>
      <c r="B192" s="6" t="s">
        <v>1254</v>
      </c>
      <c r="C192" s="6" t="s">
        <v>638</v>
      </c>
      <c r="D192" s="6"/>
      <c r="E192" s="61" t="s">
        <v>40</v>
      </c>
      <c r="F192" s="33">
        <v>18145</v>
      </c>
      <c r="G192" s="21">
        <f t="shared" si="9"/>
        <v>1949</v>
      </c>
      <c r="H192" s="22">
        <f t="shared" si="5"/>
        <v>77</v>
      </c>
      <c r="I192" s="23"/>
      <c r="J192" s="20" t="s">
        <v>27</v>
      </c>
      <c r="K192" s="6"/>
      <c r="L192" s="25"/>
      <c r="M192" s="25" t="s">
        <v>1763</v>
      </c>
      <c r="N192" s="6"/>
      <c r="O192" s="6" t="s">
        <v>143</v>
      </c>
      <c r="P192" s="6">
        <v>150</v>
      </c>
      <c r="Q192" s="6">
        <v>50</v>
      </c>
      <c r="R192" s="26">
        <v>100</v>
      </c>
      <c r="S192" s="26"/>
      <c r="T192" s="26"/>
      <c r="U192" s="6"/>
      <c r="V192" s="26" t="s">
        <v>1764</v>
      </c>
    </row>
    <row r="193" spans="1:22" s="4" customFormat="1" hidden="1">
      <c r="A193" s="20">
        <v>584</v>
      </c>
      <c r="B193" s="6" t="s">
        <v>1254</v>
      </c>
      <c r="C193" s="6" t="s">
        <v>1765</v>
      </c>
      <c r="D193" s="6"/>
      <c r="E193" s="6" t="s">
        <v>609</v>
      </c>
      <c r="F193" s="33">
        <v>34992</v>
      </c>
      <c r="G193" s="21">
        <f t="shared" si="9"/>
        <v>1995</v>
      </c>
      <c r="H193" s="22">
        <f t="shared" si="5"/>
        <v>31</v>
      </c>
      <c r="I193" s="23"/>
      <c r="J193" s="20" t="s">
        <v>27</v>
      </c>
      <c r="K193" s="6" t="s">
        <v>1256</v>
      </c>
      <c r="L193" s="25"/>
      <c r="M193" s="25" t="s">
        <v>1766</v>
      </c>
      <c r="N193" s="6"/>
      <c r="O193" s="6" t="s">
        <v>146</v>
      </c>
      <c r="P193" s="6">
        <v>152</v>
      </c>
      <c r="Q193" s="6">
        <v>47</v>
      </c>
      <c r="R193" s="26">
        <v>83</v>
      </c>
      <c r="S193" s="26"/>
      <c r="T193" s="26"/>
      <c r="U193" s="6"/>
      <c r="V193" s="6" t="s">
        <v>1767</v>
      </c>
    </row>
    <row r="194" spans="1:22" s="4" customFormat="1" hidden="1">
      <c r="A194" s="17">
        <v>585</v>
      </c>
      <c r="B194" s="6" t="s">
        <v>1254</v>
      </c>
      <c r="C194" s="6" t="s">
        <v>1768</v>
      </c>
      <c r="D194" s="6"/>
      <c r="E194" s="6" t="s">
        <v>1769</v>
      </c>
      <c r="F194" s="33">
        <v>27061</v>
      </c>
      <c r="G194" s="21">
        <f t="shared" si="9"/>
        <v>1974</v>
      </c>
      <c r="H194" s="22">
        <f t="shared" si="5"/>
        <v>52</v>
      </c>
      <c r="I194" s="23"/>
      <c r="J194" s="20" t="s">
        <v>27</v>
      </c>
      <c r="K194" s="6" t="s">
        <v>1256</v>
      </c>
      <c r="L194" s="25"/>
      <c r="M194" s="25" t="s">
        <v>1770</v>
      </c>
      <c r="N194" s="6"/>
      <c r="O194" s="6" t="s">
        <v>87</v>
      </c>
      <c r="P194" s="6">
        <v>160</v>
      </c>
      <c r="Q194" s="6">
        <v>45</v>
      </c>
      <c r="R194" s="26">
        <v>100</v>
      </c>
      <c r="S194" s="26"/>
      <c r="T194" s="26"/>
      <c r="U194" s="6"/>
      <c r="V194" s="6" t="s">
        <v>1771</v>
      </c>
    </row>
    <row r="195" spans="1:22" s="4" customFormat="1" hidden="1">
      <c r="A195" s="20">
        <v>586</v>
      </c>
      <c r="B195" s="6" t="s">
        <v>1254</v>
      </c>
      <c r="C195" s="6" t="s">
        <v>1772</v>
      </c>
      <c r="D195" s="6"/>
      <c r="E195" s="6" t="s">
        <v>40</v>
      </c>
      <c r="F195" s="33">
        <v>18373</v>
      </c>
      <c r="G195" s="21">
        <f t="shared" si="9"/>
        <v>1950</v>
      </c>
      <c r="H195" s="22">
        <f t="shared" ref="H195:H209" si="10">2026-G195</f>
        <v>76</v>
      </c>
      <c r="I195" s="23"/>
      <c r="J195" s="20" t="s">
        <v>27</v>
      </c>
      <c r="K195" s="6" t="s">
        <v>1256</v>
      </c>
      <c r="L195" s="25"/>
      <c r="M195" s="25" t="s">
        <v>1773</v>
      </c>
      <c r="N195" s="6"/>
      <c r="O195" s="6" t="s">
        <v>34</v>
      </c>
      <c r="P195" s="6">
        <v>155</v>
      </c>
      <c r="Q195" s="6">
        <v>47</v>
      </c>
      <c r="R195" s="26">
        <v>75</v>
      </c>
      <c r="S195" s="26"/>
      <c r="T195" s="26"/>
      <c r="U195" s="6"/>
      <c r="V195" s="6" t="s">
        <v>1774</v>
      </c>
    </row>
    <row r="196" spans="1:22" s="4" customFormat="1">
      <c r="A196" s="17">
        <v>587</v>
      </c>
      <c r="B196" s="6" t="s">
        <v>1254</v>
      </c>
      <c r="C196" s="6" t="s">
        <v>1775</v>
      </c>
      <c r="D196" s="6"/>
      <c r="E196" s="61" t="s">
        <v>2374</v>
      </c>
      <c r="F196" s="33">
        <v>26916</v>
      </c>
      <c r="G196" s="21">
        <f t="shared" si="9"/>
        <v>1973</v>
      </c>
      <c r="H196" s="22">
        <f t="shared" si="10"/>
        <v>53</v>
      </c>
      <c r="I196" s="23"/>
      <c r="J196" s="20" t="s">
        <v>27</v>
      </c>
      <c r="K196" s="6" t="s">
        <v>1256</v>
      </c>
      <c r="L196" s="25"/>
      <c r="M196" s="25" t="s">
        <v>1575</v>
      </c>
      <c r="N196" s="6"/>
      <c r="O196" s="6" t="s">
        <v>60</v>
      </c>
      <c r="P196" s="6">
        <v>150</v>
      </c>
      <c r="Q196" s="6">
        <v>47</v>
      </c>
      <c r="R196" s="26">
        <v>100</v>
      </c>
      <c r="S196" s="26"/>
      <c r="T196" s="26"/>
      <c r="U196" s="6"/>
      <c r="V196" s="6" t="s">
        <v>1776</v>
      </c>
    </row>
    <row r="197" spans="1:22" s="4" customFormat="1">
      <c r="A197" s="20">
        <v>588</v>
      </c>
      <c r="B197" s="6" t="s">
        <v>1254</v>
      </c>
      <c r="C197" s="6" t="s">
        <v>1777</v>
      </c>
      <c r="D197" s="6"/>
      <c r="E197" s="61" t="s">
        <v>2374</v>
      </c>
      <c r="F197" s="33">
        <v>26653</v>
      </c>
      <c r="G197" s="21">
        <f t="shared" si="9"/>
        <v>1972</v>
      </c>
      <c r="H197" s="22">
        <f t="shared" si="10"/>
        <v>54</v>
      </c>
      <c r="I197" s="23"/>
      <c r="J197" s="20" t="s">
        <v>27</v>
      </c>
      <c r="K197" s="6" t="s">
        <v>1256</v>
      </c>
      <c r="L197" s="25"/>
      <c r="M197" s="25" t="s">
        <v>1778</v>
      </c>
      <c r="N197" s="6"/>
      <c r="O197" s="6"/>
      <c r="P197" s="6"/>
      <c r="Q197" s="6"/>
      <c r="R197" s="26"/>
      <c r="S197" s="26"/>
      <c r="T197" s="26"/>
      <c r="U197" s="6"/>
      <c r="V197" s="6" t="s">
        <v>1779</v>
      </c>
    </row>
    <row r="198" spans="1:22" s="4" customFormat="1" hidden="1">
      <c r="A198" s="17">
        <v>589</v>
      </c>
      <c r="B198" s="6" t="s">
        <v>1254</v>
      </c>
      <c r="C198" s="6" t="s">
        <v>1436</v>
      </c>
      <c r="D198" s="6"/>
      <c r="E198" s="6" t="s">
        <v>40</v>
      </c>
      <c r="F198" s="33">
        <v>17465</v>
      </c>
      <c r="G198" s="21">
        <f t="shared" si="9"/>
        <v>1947</v>
      </c>
      <c r="H198" s="22">
        <f t="shared" si="10"/>
        <v>79</v>
      </c>
      <c r="I198" s="23"/>
      <c r="J198" s="20" t="s">
        <v>27</v>
      </c>
      <c r="K198" s="6" t="s">
        <v>1256</v>
      </c>
      <c r="L198" s="25"/>
      <c r="M198" s="25" t="s">
        <v>1780</v>
      </c>
      <c r="N198" s="6"/>
      <c r="O198" s="6" t="s">
        <v>34</v>
      </c>
      <c r="P198" s="6">
        <v>145</v>
      </c>
      <c r="Q198" s="6">
        <v>43</v>
      </c>
      <c r="R198" s="26">
        <v>78</v>
      </c>
      <c r="S198" s="26"/>
      <c r="T198" s="26"/>
      <c r="U198" s="6"/>
      <c r="V198" s="6" t="s">
        <v>1781</v>
      </c>
    </row>
    <row r="199" spans="1:22" s="4" customFormat="1" hidden="1">
      <c r="A199" s="20">
        <v>590</v>
      </c>
      <c r="B199" s="6" t="s">
        <v>1254</v>
      </c>
      <c r="C199" s="6" t="s">
        <v>1782</v>
      </c>
      <c r="D199" s="6"/>
      <c r="E199" s="6" t="s">
        <v>40</v>
      </c>
      <c r="F199" s="33">
        <v>19922</v>
      </c>
      <c r="G199" s="21">
        <f t="shared" si="9"/>
        <v>1954</v>
      </c>
      <c r="H199" s="22">
        <f t="shared" si="10"/>
        <v>72</v>
      </c>
      <c r="I199" s="23"/>
      <c r="J199" s="20" t="s">
        <v>27</v>
      </c>
      <c r="K199" s="6" t="s">
        <v>1256</v>
      </c>
      <c r="L199" s="25"/>
      <c r="M199" s="25" t="s">
        <v>1783</v>
      </c>
      <c r="N199" s="6"/>
      <c r="O199" s="6" t="s">
        <v>333</v>
      </c>
      <c r="P199" s="6">
        <v>154</v>
      </c>
      <c r="Q199" s="6">
        <v>52</v>
      </c>
      <c r="R199" s="26">
        <v>110</v>
      </c>
      <c r="S199" s="26"/>
      <c r="T199" s="26"/>
      <c r="U199" s="6"/>
      <c r="V199" s="6" t="s">
        <v>1784</v>
      </c>
    </row>
    <row r="200" spans="1:22" s="4" customFormat="1" hidden="1">
      <c r="A200" s="17">
        <v>591</v>
      </c>
      <c r="B200" s="6" t="s">
        <v>1254</v>
      </c>
      <c r="C200" s="6" t="s">
        <v>1785</v>
      </c>
      <c r="D200" s="6"/>
      <c r="E200" s="6" t="s">
        <v>609</v>
      </c>
      <c r="F200" s="33">
        <v>33949</v>
      </c>
      <c r="G200" s="21">
        <f t="shared" si="9"/>
        <v>1992</v>
      </c>
      <c r="H200" s="22">
        <f t="shared" si="10"/>
        <v>34</v>
      </c>
      <c r="I200" s="23" t="s">
        <v>27</v>
      </c>
      <c r="J200" s="20"/>
      <c r="K200" s="6"/>
      <c r="L200" s="25"/>
      <c r="M200" s="25" t="s">
        <v>1786</v>
      </c>
      <c r="N200" s="6"/>
      <c r="O200" s="6" t="s">
        <v>87</v>
      </c>
      <c r="P200" s="6">
        <v>168</v>
      </c>
      <c r="Q200" s="6">
        <v>62</v>
      </c>
      <c r="R200" s="26">
        <v>100</v>
      </c>
      <c r="S200" s="26"/>
      <c r="T200" s="26"/>
      <c r="U200" s="6"/>
      <c r="V200" s="6" t="s">
        <v>1787</v>
      </c>
    </row>
    <row r="201" spans="1:22" s="4" customFormat="1" hidden="1">
      <c r="A201" s="20">
        <v>592</v>
      </c>
      <c r="B201" s="6" t="s">
        <v>1254</v>
      </c>
      <c r="C201" s="6" t="s">
        <v>1788</v>
      </c>
      <c r="D201" s="6"/>
      <c r="E201" s="29" t="s">
        <v>40</v>
      </c>
      <c r="F201" s="29">
        <v>14010</v>
      </c>
      <c r="G201" s="21">
        <v>5</v>
      </c>
      <c r="H201" s="22">
        <v>1938</v>
      </c>
      <c r="I201" s="23"/>
      <c r="J201" s="20" t="s">
        <v>27</v>
      </c>
      <c r="K201" s="6"/>
      <c r="L201" s="25"/>
      <c r="M201" s="25" t="s">
        <v>1789</v>
      </c>
      <c r="N201" s="6"/>
      <c r="O201" s="6" t="s">
        <v>1790</v>
      </c>
      <c r="P201" s="6">
        <v>150</v>
      </c>
      <c r="Q201" s="6">
        <v>42</v>
      </c>
      <c r="R201" s="26">
        <v>110</v>
      </c>
      <c r="S201" s="26"/>
      <c r="T201" s="26"/>
      <c r="U201" s="6"/>
      <c r="V201" s="6" t="s">
        <v>1791</v>
      </c>
    </row>
    <row r="202" spans="1:22" s="4" customFormat="1">
      <c r="A202" s="17">
        <v>593</v>
      </c>
      <c r="B202" s="6" t="s">
        <v>1254</v>
      </c>
      <c r="C202" s="6" t="s">
        <v>1792</v>
      </c>
      <c r="D202" s="6"/>
      <c r="E202" s="61" t="s">
        <v>2374</v>
      </c>
      <c r="F202" s="33">
        <v>25264</v>
      </c>
      <c r="G202" s="21">
        <f t="shared" ref="G202:G213" si="11">YEAR(F202)</f>
        <v>1969</v>
      </c>
      <c r="H202" s="22">
        <f t="shared" ref="H202:H213" si="12">2026-G202</f>
        <v>57</v>
      </c>
      <c r="I202" s="23"/>
      <c r="J202" s="20" t="s">
        <v>27</v>
      </c>
      <c r="K202" s="6" t="s">
        <v>1256</v>
      </c>
      <c r="L202" s="25"/>
      <c r="M202" s="25" t="s">
        <v>1793</v>
      </c>
      <c r="N202" s="6"/>
      <c r="O202" s="6" t="s">
        <v>634</v>
      </c>
      <c r="P202" s="6">
        <v>155</v>
      </c>
      <c r="Q202" s="6">
        <v>50</v>
      </c>
      <c r="R202" s="26">
        <v>90</v>
      </c>
      <c r="S202" s="26"/>
      <c r="T202" s="26"/>
      <c r="U202" s="6"/>
      <c r="V202" s="6" t="s">
        <v>1794</v>
      </c>
    </row>
    <row r="203" spans="1:22" s="4" customFormat="1" hidden="1">
      <c r="A203" s="20">
        <v>594</v>
      </c>
      <c r="B203" s="6" t="s">
        <v>1254</v>
      </c>
      <c r="C203" s="6" t="s">
        <v>410</v>
      </c>
      <c r="D203" s="6"/>
      <c r="E203" s="6" t="s">
        <v>40</v>
      </c>
      <c r="F203" s="33">
        <v>20748</v>
      </c>
      <c r="G203" s="21">
        <f t="shared" si="11"/>
        <v>1956</v>
      </c>
      <c r="H203" s="22">
        <f t="shared" si="12"/>
        <v>70</v>
      </c>
      <c r="I203" s="23"/>
      <c r="J203" s="20" t="s">
        <v>27</v>
      </c>
      <c r="K203" s="6" t="s">
        <v>1256</v>
      </c>
      <c r="L203" s="25"/>
      <c r="M203" s="25" t="s">
        <v>1795</v>
      </c>
      <c r="N203" s="6"/>
      <c r="O203" s="6" t="s">
        <v>143</v>
      </c>
      <c r="P203" s="6">
        <v>150</v>
      </c>
      <c r="Q203" s="6">
        <v>48</v>
      </c>
      <c r="R203" s="26">
        <v>70</v>
      </c>
      <c r="S203" s="26"/>
      <c r="T203" s="26"/>
      <c r="U203" s="6"/>
      <c r="V203" s="6" t="s">
        <v>1796</v>
      </c>
    </row>
    <row r="204" spans="1:22" s="4" customFormat="1">
      <c r="A204" s="17">
        <v>595</v>
      </c>
      <c r="B204" s="6" t="s">
        <v>1254</v>
      </c>
      <c r="C204" s="6" t="s">
        <v>1797</v>
      </c>
      <c r="D204" s="6"/>
      <c r="E204" s="61" t="s">
        <v>2374</v>
      </c>
      <c r="F204" s="33">
        <v>26012</v>
      </c>
      <c r="G204" s="21">
        <f t="shared" si="11"/>
        <v>1971</v>
      </c>
      <c r="H204" s="22">
        <f t="shared" si="12"/>
        <v>55</v>
      </c>
      <c r="I204" s="23"/>
      <c r="J204" s="20" t="s">
        <v>27</v>
      </c>
      <c r="K204" s="6" t="s">
        <v>1256</v>
      </c>
      <c r="L204" s="25"/>
      <c r="M204" s="25" t="s">
        <v>1798</v>
      </c>
      <c r="N204" s="6"/>
      <c r="O204" s="6" t="s">
        <v>833</v>
      </c>
      <c r="P204" s="6">
        <v>150</v>
      </c>
      <c r="Q204" s="6">
        <v>48</v>
      </c>
      <c r="R204" s="26">
        <v>79</v>
      </c>
      <c r="S204" s="26"/>
      <c r="T204" s="26"/>
      <c r="U204" s="6"/>
      <c r="V204" s="6" t="s">
        <v>1799</v>
      </c>
    </row>
    <row r="205" spans="1:22" s="4" customFormat="1">
      <c r="A205" s="20">
        <v>596</v>
      </c>
      <c r="B205" s="6" t="s">
        <v>1254</v>
      </c>
      <c r="C205" s="6" t="s">
        <v>1695</v>
      </c>
      <c r="D205" s="6"/>
      <c r="E205" s="61" t="s">
        <v>2374</v>
      </c>
      <c r="F205" s="33">
        <v>25111</v>
      </c>
      <c r="G205" s="21">
        <f t="shared" si="11"/>
        <v>1968</v>
      </c>
      <c r="H205" s="22">
        <f t="shared" si="12"/>
        <v>58</v>
      </c>
      <c r="I205" s="23"/>
      <c r="J205" s="20" t="s">
        <v>27</v>
      </c>
      <c r="K205" s="6" t="s">
        <v>1256</v>
      </c>
      <c r="L205" s="25"/>
      <c r="M205" s="25" t="s">
        <v>1800</v>
      </c>
      <c r="N205" s="6"/>
      <c r="O205" s="6" t="s">
        <v>570</v>
      </c>
      <c r="P205" s="6">
        <v>152</v>
      </c>
      <c r="Q205" s="6">
        <v>48</v>
      </c>
      <c r="R205" s="26">
        <v>86</v>
      </c>
      <c r="S205" s="26"/>
      <c r="T205" s="26"/>
      <c r="U205" s="6"/>
      <c r="V205" s="6" t="s">
        <v>604</v>
      </c>
    </row>
    <row r="206" spans="1:22" s="4" customFormat="1" hidden="1">
      <c r="A206" s="17">
        <v>597</v>
      </c>
      <c r="B206" s="6" t="s">
        <v>1254</v>
      </c>
      <c r="C206" s="6" t="s">
        <v>1125</v>
      </c>
      <c r="D206" s="6"/>
      <c r="E206" s="6" t="s">
        <v>261</v>
      </c>
      <c r="F206" s="33">
        <v>23012</v>
      </c>
      <c r="G206" s="21">
        <f t="shared" si="11"/>
        <v>1963</v>
      </c>
      <c r="H206" s="22">
        <f t="shared" si="12"/>
        <v>63</v>
      </c>
      <c r="I206" s="23"/>
      <c r="J206" s="20" t="s">
        <v>27</v>
      </c>
      <c r="K206" s="6"/>
      <c r="L206" s="25"/>
      <c r="M206" s="25" t="s">
        <v>1801</v>
      </c>
      <c r="N206" s="6"/>
      <c r="O206" s="6" t="s">
        <v>104</v>
      </c>
      <c r="P206" s="6">
        <v>155</v>
      </c>
      <c r="Q206" s="6">
        <v>42</v>
      </c>
      <c r="R206" s="26">
        <v>82</v>
      </c>
      <c r="S206" s="26"/>
      <c r="T206" s="26"/>
      <c r="U206" s="6"/>
      <c r="V206" s="6" t="s">
        <v>1802</v>
      </c>
    </row>
    <row r="207" spans="1:22" s="4" customFormat="1">
      <c r="A207" s="20">
        <v>598</v>
      </c>
      <c r="B207" s="6" t="s">
        <v>1254</v>
      </c>
      <c r="C207" s="6" t="s">
        <v>242</v>
      </c>
      <c r="D207" s="6"/>
      <c r="E207" s="61" t="s">
        <v>2374</v>
      </c>
      <c r="F207" s="33">
        <v>26299</v>
      </c>
      <c r="G207" s="21">
        <f t="shared" si="11"/>
        <v>1972</v>
      </c>
      <c r="H207" s="22">
        <f t="shared" si="12"/>
        <v>54</v>
      </c>
      <c r="I207" s="23"/>
      <c r="J207" s="20" t="s">
        <v>27</v>
      </c>
      <c r="K207" s="6" t="s">
        <v>1256</v>
      </c>
      <c r="L207" s="25"/>
      <c r="M207" s="25" t="s">
        <v>1803</v>
      </c>
      <c r="N207" s="6"/>
      <c r="O207" s="6" t="s">
        <v>687</v>
      </c>
      <c r="P207" s="6">
        <v>155</v>
      </c>
      <c r="Q207" s="6">
        <v>56</v>
      </c>
      <c r="R207" s="26">
        <v>74</v>
      </c>
      <c r="S207" s="26"/>
      <c r="T207" s="26"/>
      <c r="U207" s="6"/>
      <c r="V207" s="6" t="s">
        <v>1804</v>
      </c>
    </row>
    <row r="208" spans="1:22" s="4" customFormat="1">
      <c r="A208" s="17">
        <v>599</v>
      </c>
      <c r="B208" s="6" t="s">
        <v>1254</v>
      </c>
      <c r="C208" s="6" t="s">
        <v>1805</v>
      </c>
      <c r="D208" s="6"/>
      <c r="E208" s="61" t="s">
        <v>2374</v>
      </c>
      <c r="F208" s="33">
        <v>26549</v>
      </c>
      <c r="G208" s="21">
        <f t="shared" si="11"/>
        <v>1972</v>
      </c>
      <c r="H208" s="22">
        <f t="shared" si="12"/>
        <v>54</v>
      </c>
      <c r="I208" s="23" t="s">
        <v>27</v>
      </c>
      <c r="J208" s="20"/>
      <c r="K208" s="6" t="s">
        <v>1256</v>
      </c>
      <c r="L208" s="25"/>
      <c r="M208" s="25" t="s">
        <v>1806</v>
      </c>
      <c r="N208" s="6"/>
      <c r="O208" s="6" t="s">
        <v>284</v>
      </c>
      <c r="P208" s="6">
        <v>160</v>
      </c>
      <c r="Q208" s="6">
        <v>52</v>
      </c>
      <c r="R208" s="26">
        <v>79</v>
      </c>
      <c r="S208" s="26"/>
      <c r="T208" s="26"/>
      <c r="U208" s="6"/>
      <c r="V208" s="6" t="s">
        <v>1807</v>
      </c>
    </row>
    <row r="209" spans="1:22" s="4" customFormat="1" hidden="1">
      <c r="A209" s="20">
        <v>600</v>
      </c>
      <c r="B209" s="6" t="s">
        <v>1254</v>
      </c>
      <c r="C209" s="6" t="s">
        <v>1268</v>
      </c>
      <c r="D209" s="6"/>
      <c r="E209" s="6" t="s">
        <v>40</v>
      </c>
      <c r="F209" s="33">
        <v>23917</v>
      </c>
      <c r="G209" s="21">
        <f t="shared" si="11"/>
        <v>1965</v>
      </c>
      <c r="H209" s="22">
        <f t="shared" si="12"/>
        <v>61</v>
      </c>
      <c r="I209" s="23"/>
      <c r="J209" s="20" t="s">
        <v>27</v>
      </c>
      <c r="K209" s="6" t="s">
        <v>1256</v>
      </c>
      <c r="L209" s="25"/>
      <c r="M209" s="25" t="s">
        <v>1808</v>
      </c>
      <c r="N209" s="6"/>
      <c r="O209" s="6" t="s">
        <v>149</v>
      </c>
      <c r="P209" s="6">
        <v>150</v>
      </c>
      <c r="Q209" s="6">
        <v>50</v>
      </c>
      <c r="R209" s="26">
        <v>70</v>
      </c>
      <c r="S209" s="26"/>
      <c r="T209" s="26"/>
      <c r="U209" s="6"/>
      <c r="V209" s="6" t="s">
        <v>1809</v>
      </c>
    </row>
    <row r="210" spans="1:22" s="4" customFormat="1" hidden="1">
      <c r="A210" s="17">
        <v>601</v>
      </c>
      <c r="B210" s="6" t="s">
        <v>1254</v>
      </c>
      <c r="C210" s="6" t="s">
        <v>1810</v>
      </c>
      <c r="D210" s="6"/>
      <c r="E210" s="6" t="s">
        <v>40</v>
      </c>
      <c r="F210" s="33">
        <v>22130</v>
      </c>
      <c r="G210" s="21">
        <f t="shared" si="11"/>
        <v>1960</v>
      </c>
      <c r="H210" s="22">
        <f t="shared" si="12"/>
        <v>66</v>
      </c>
      <c r="I210" s="23"/>
      <c r="J210" s="20" t="s">
        <v>27</v>
      </c>
      <c r="K210" s="6" t="s">
        <v>1256</v>
      </c>
      <c r="L210" s="25"/>
      <c r="M210" s="25" t="s">
        <v>1811</v>
      </c>
      <c r="N210" s="6"/>
      <c r="O210" s="6" t="s">
        <v>280</v>
      </c>
      <c r="P210" s="6">
        <v>155</v>
      </c>
      <c r="Q210" s="6">
        <v>34</v>
      </c>
      <c r="R210" s="26">
        <v>77</v>
      </c>
      <c r="S210" s="26"/>
      <c r="T210" s="26"/>
      <c r="U210" s="6"/>
      <c r="V210" s="6" t="s">
        <v>1812</v>
      </c>
    </row>
    <row r="211" spans="1:22" s="4" customFormat="1" hidden="1">
      <c r="A211" s="20">
        <v>602</v>
      </c>
      <c r="B211" s="6" t="s">
        <v>1254</v>
      </c>
      <c r="C211" s="6" t="s">
        <v>1813</v>
      </c>
      <c r="D211" s="6"/>
      <c r="E211" s="6" t="s">
        <v>40</v>
      </c>
      <c r="F211" s="33">
        <v>24109</v>
      </c>
      <c r="G211" s="21">
        <f t="shared" si="11"/>
        <v>1966</v>
      </c>
      <c r="H211" s="22">
        <f t="shared" si="12"/>
        <v>60</v>
      </c>
      <c r="I211" s="23"/>
      <c r="J211" s="20" t="s">
        <v>27</v>
      </c>
      <c r="K211" s="6" t="s">
        <v>1256</v>
      </c>
      <c r="L211" s="25"/>
      <c r="M211" s="25" t="s">
        <v>1814</v>
      </c>
      <c r="N211" s="6"/>
      <c r="O211" s="6" t="s">
        <v>87</v>
      </c>
      <c r="P211" s="6">
        <v>167</v>
      </c>
      <c r="Q211" s="6">
        <v>59</v>
      </c>
      <c r="R211" s="26">
        <v>71</v>
      </c>
      <c r="S211" s="26"/>
      <c r="T211" s="26"/>
      <c r="U211" s="6"/>
      <c r="V211" s="6" t="s">
        <v>1815</v>
      </c>
    </row>
    <row r="212" spans="1:22" s="4" customFormat="1" hidden="1">
      <c r="A212" s="17">
        <v>603</v>
      </c>
      <c r="B212" s="6" t="s">
        <v>1254</v>
      </c>
      <c r="C212" s="6" t="s">
        <v>1816</v>
      </c>
      <c r="D212" s="6"/>
      <c r="E212" s="6" t="s">
        <v>40</v>
      </c>
      <c r="F212" s="33">
        <v>16559</v>
      </c>
      <c r="G212" s="21">
        <f t="shared" si="11"/>
        <v>1945</v>
      </c>
      <c r="H212" s="22">
        <f t="shared" si="12"/>
        <v>81</v>
      </c>
      <c r="I212" s="23" t="s">
        <v>27</v>
      </c>
      <c r="J212" s="20"/>
      <c r="K212" s="6" t="s">
        <v>1256</v>
      </c>
      <c r="L212" s="25"/>
      <c r="M212" s="25" t="s">
        <v>1817</v>
      </c>
      <c r="N212" s="6"/>
      <c r="O212" s="6" t="s">
        <v>536</v>
      </c>
      <c r="P212" s="6">
        <v>160</v>
      </c>
      <c r="Q212" s="6">
        <v>48</v>
      </c>
      <c r="R212" s="26">
        <v>77</v>
      </c>
      <c r="S212" s="26"/>
      <c r="T212" s="26"/>
      <c r="U212" s="6"/>
      <c r="V212" s="6" t="s">
        <v>1818</v>
      </c>
    </row>
    <row r="213" spans="1:22" s="4" customFormat="1">
      <c r="A213" s="20">
        <v>604</v>
      </c>
      <c r="B213" s="6" t="s">
        <v>1254</v>
      </c>
      <c r="C213" s="6" t="s">
        <v>1819</v>
      </c>
      <c r="D213" s="6"/>
      <c r="E213" s="61" t="s">
        <v>2374</v>
      </c>
      <c r="F213" s="33">
        <v>27304</v>
      </c>
      <c r="G213" s="21">
        <f t="shared" si="11"/>
        <v>1974</v>
      </c>
      <c r="H213" s="22">
        <f t="shared" si="12"/>
        <v>52</v>
      </c>
      <c r="I213" s="23"/>
      <c r="J213" s="20" t="s">
        <v>27</v>
      </c>
      <c r="K213" s="6" t="s">
        <v>1256</v>
      </c>
      <c r="L213" s="25"/>
      <c r="M213" s="25" t="s">
        <v>1820</v>
      </c>
      <c r="N213" s="6"/>
      <c r="O213" s="6" t="s">
        <v>263</v>
      </c>
      <c r="P213" s="6">
        <v>155</v>
      </c>
      <c r="Q213" s="6">
        <v>39</v>
      </c>
      <c r="R213" s="26">
        <v>85</v>
      </c>
      <c r="S213" s="26"/>
      <c r="T213" s="26"/>
      <c r="U213" s="6"/>
      <c r="V213" s="6" t="s">
        <v>1821</v>
      </c>
    </row>
  </sheetData>
  <autoFilter ref="A2:X213" xr:uid="{79A10455-C321-4D53-B77A-C50DCC8D4D05}">
    <filterColumn colId="4">
      <filters>
        <filter val="18-60"/>
      </filters>
    </filterColumn>
  </autoFilter>
  <mergeCells count="1">
    <mergeCell ref="I1:J1"/>
  </mergeCells>
  <conditionalFormatting sqref="C3:D213">
    <cfRule type="duplicateValues" dxfId="1" priority="2"/>
  </conditionalFormatting>
  <conditionalFormatting sqref="C1:D2">
    <cfRule type="duplicateValues" dxfId="0" priority="1"/>
  </conditionalFormatting>
  <dataValidations count="1">
    <dataValidation allowBlank="1" showInputMessage="1" showErrorMessage="1" promptTitle="Hướng dẫn" prompt="Định dạng: dd/MM/yyyy" sqref="F44" xr:uid="{96FAA8EF-3FAB-4D4A-9371-F572BF969E3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30.9</vt:lpstr>
      <vt:lpstr>ngày 1.10</vt:lpstr>
      <vt:lpstr>ngày 02.10</vt:lpstr>
      <vt:lpstr>ngày 28.9</vt:lpstr>
      <vt:lpstr>29.9</vt:lpstr>
      <vt:lpstr>30.9.26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2026-07-15T00:03:00Z</dcterms:created>
  <dcterms:modified xsi:type="dcterms:W3CDTF">2026-10-22T11:28:05Z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B3AB0F1140A14D66BA77763F25665435_13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